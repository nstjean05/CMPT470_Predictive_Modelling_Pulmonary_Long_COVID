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st.jean/Downloads/School/TWU/Current Classes/CMPT 470 (Bioinformatics)/"/>
    </mc:Choice>
  </mc:AlternateContent>
  <xr:revisionPtr revIDLastSave="0" documentId="8_{4EF022B1-8496-C047-B2DC-E7939AE789FE}" xr6:coauthVersionLast="47" xr6:coauthVersionMax="47" xr10:uidLastSave="{00000000-0000-0000-0000-000000000000}"/>
  <bookViews>
    <workbookView xWindow="10860" yWindow="760" windowWidth="18600" windowHeight="17440" xr2:uid="{BD344E52-84FA-4EE3-871F-E6FC7E7E407D}"/>
  </bookViews>
  <sheets>
    <sheet name="original sample 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H9" i="1"/>
  <c r="H10" i="1"/>
  <c r="H12" i="1"/>
  <c r="H16" i="1"/>
  <c r="H17" i="1"/>
  <c r="H18" i="1"/>
  <c r="H19" i="1"/>
  <c r="H20" i="1"/>
  <c r="H21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</calcChain>
</file>

<file path=xl/sharedStrings.xml><?xml version="1.0" encoding="utf-8"?>
<sst xmlns="http://schemas.openxmlformats.org/spreadsheetml/2006/main" count="199" uniqueCount="145">
  <si>
    <t>none</t>
  </si>
  <si>
    <t>disc disorder</t>
  </si>
  <si>
    <t>cough, fatigue, SOB, generalised aches</t>
  </si>
  <si>
    <t>acoustic neuroma, GERD, lumbar spondylosis, menopause related arrhythmias</t>
  </si>
  <si>
    <t>acute hypoxemic respiratory failure; SOB, occasional cough/lightheadedness/dizziness</t>
  </si>
  <si>
    <t>sinus congestion, headaches, dry cough, dyspnea, neurocognitive deficits including fatigue/difficulties with memory/attention/concentration, increased anxiety and depressive symptoms</t>
  </si>
  <si>
    <t xml:space="preserve">loss of sense of smell and taste, low oxygen level, random onset severe sharp burning sensation through nose and chest, SOB, pleuritic chest pain, fatigue, weight gain; primarily experience symptoms in "episodes" </t>
  </si>
  <si>
    <t>anemia, recurrent chest pain, fibromyalgia, childhood asthma</t>
  </si>
  <si>
    <t>congestion, headaches, myalgias, fatigue, loss of smell and taste, dyspnea upon mild exertion, concentration and memory issues, mild orthostatic intolerance, trace LE edema, tachycardia</t>
  </si>
  <si>
    <t>dry cough, exertion induced dyspnea, difficulties with attention, memory, concentration, increased anxiety</t>
  </si>
  <si>
    <t>anxiety, panic attacks, PTSD</t>
  </si>
  <si>
    <t>extertion induced dyspnea</t>
  </si>
  <si>
    <t>GERD, allergic rhinitis</t>
  </si>
  <si>
    <t>exertion induced dyspnea, chronic fatigue, brain fog, sadness</t>
  </si>
  <si>
    <t>chronic heart disease: CHF, CAD, cardiomyopathies, crohn's disease, hyperlipidemia, gout, coronary artery disease</t>
  </si>
  <si>
    <t>headaches, loss of taste/smell, dyspnea, some tachycardia</t>
  </si>
  <si>
    <t>DOE</t>
  </si>
  <si>
    <t>sinus congestion, cough, dyspnea, fever, vomiting, diarrhea, frequent muscle tightness, paresthesias, fatigue, difficulties with memory/attention/concentration, increased anxiety, depressed mood</t>
  </si>
  <si>
    <t>multiple sclerosis, dyslipidemia, hypothyroidism</t>
  </si>
  <si>
    <t>fever, chills, anosmia/ageusia, cough, dyspnea, chest pain, brain fog, anxiety</t>
  </si>
  <si>
    <t>type 2 diabetes, asthma hypertension, colon polyp, diverticulosis</t>
  </si>
  <si>
    <t>fever, chills, mild cough, muscle aches, chest pain, dyspnea, lightheadedness, concentration/memory deficits, worsened depression</t>
  </si>
  <si>
    <t>migraines</t>
  </si>
  <si>
    <t>weakness, lethargy, diarhhea, fever</t>
  </si>
  <si>
    <t>Type 2 Diabetes, cancer</t>
  </si>
  <si>
    <t>dry cough, exertional SOB, fatigue, muscle aches, lightheadedness/dizziness, memory issues/word finding difficulties, persistent skin rash on right side of abdomen that has resolved</t>
  </si>
  <si>
    <t>GERD, Tinnitus, ANA positive, benign positional vertigo, possible mold and asbestos exposure, significant smog exposure while living in LA, seasonal allergies</t>
  </si>
  <si>
    <t>anosmia, ageusia, sore throat, fever, cough, dyspnea, fatigue</t>
  </si>
  <si>
    <t xml:space="preserve">cryptogenic stroke March 2021 (right caudate artifact) </t>
  </si>
  <si>
    <t>fever, chills, fatigue, loss of taste/smell, myalgias, DOE/SOB, mental fog, intermittent chest pain, cough</t>
  </si>
  <si>
    <t>factor V leiden with DVT on AC, sclerosing mesenteritis on chronic steroids, OSA (prev CPAP but recalled), HTN, on chronic immunosuppression</t>
  </si>
  <si>
    <t>fatigue, breathing problems, memory/concentration issues, anxiety, depression, dyspnea, left sided chest pain</t>
  </si>
  <si>
    <t>seizures, GERD, anemia</t>
  </si>
  <si>
    <t>nausea, dyspnea, increased HR, headache, fatigue, congestion/slight cough, chest pain on exertion, brain fog/trouble sleeping</t>
  </si>
  <si>
    <t>childhood asthma, POTS, migraines</t>
  </si>
  <si>
    <t>sore throat, extreme fatigue. Nausea/vomiting, SOB, chest pain, minimal coughing, loss of appetite, body aches, loss of strength, brain fog</t>
  </si>
  <si>
    <t>PCOS, post nasal drip, ADHD</t>
  </si>
  <si>
    <t>very tired/worsening fatigue, coughing, sweating, diarrhea, dyspnea</t>
  </si>
  <si>
    <t>HTN, autosomal dominant PKD c/b ESRD s/p transplant</t>
  </si>
  <si>
    <t>SOB, cough, weakness, amb O2 87%, chest pain, chest congestion, significant fatigue</t>
  </si>
  <si>
    <t>diabetes, morbid obesity, vitamin b12 deficiency</t>
  </si>
  <si>
    <t>extertional SOB and while lying flat, chest tightness, myalgia, generalized malaise, low-grade fever, chills, nausea, dry cough, post nasal drip, heart palpitations, caffeine sensitivity, voice changes</t>
  </si>
  <si>
    <t>obesity, second hand smoke, allergies</t>
  </si>
  <si>
    <t>fever, chills, dry cough, myalgias, anosmia, diarrhea, chest pain, exertional dyspnea/limitation, hypersomnolence</t>
  </si>
  <si>
    <t>HTN, DM2, dyslipidemia, asthma, OSA, GERD, chronic lumbar pain, anxiety, depression</t>
  </si>
  <si>
    <t>dyspnea</t>
  </si>
  <si>
    <t>COPD, chronic hypoxemic respiratory failure, CAD s/p CABG, CKD stage III, hypertension, OSA</t>
  </si>
  <si>
    <t>SOB on exertion, cough with production</t>
  </si>
  <si>
    <t>Anxiety, arthritis, asthma, attention deficit disorder, depression, GERD, hyperlipidemia, hypertension, hypothyroidism, malignant melanoma X 2, migraine, PTSD, Sjorgen's syndrome, ehler danlos syndrome, obstructive sleep apnea on CPAP</t>
  </si>
  <si>
    <t>smell, no respiratory</t>
  </si>
  <si>
    <t>7/14/2021</t>
  </si>
  <si>
    <t>7/26/2021</t>
  </si>
  <si>
    <t>D1</t>
  </si>
  <si>
    <t>D8</t>
  </si>
  <si>
    <t>D9</t>
  </si>
  <si>
    <t>D11</t>
  </si>
  <si>
    <t>D15</t>
  </si>
  <si>
    <t>D16</t>
  </si>
  <si>
    <t>D17</t>
  </si>
  <si>
    <t>D18</t>
  </si>
  <si>
    <t>D19</t>
  </si>
  <si>
    <t>D20</t>
  </si>
  <si>
    <t>D37</t>
  </si>
  <si>
    <t>D38</t>
  </si>
  <si>
    <t>D39</t>
  </si>
  <si>
    <t>D40</t>
  </si>
  <si>
    <t>D41</t>
  </si>
  <si>
    <t>D42</t>
  </si>
  <si>
    <t>D43</t>
  </si>
  <si>
    <t>D45</t>
  </si>
  <si>
    <t>D47</t>
  </si>
  <si>
    <t>D48</t>
  </si>
  <si>
    <t>D49</t>
  </si>
  <si>
    <t>D50</t>
  </si>
  <si>
    <t>D51</t>
  </si>
  <si>
    <t>D52</t>
  </si>
  <si>
    <t>D53</t>
  </si>
  <si>
    <t>D54</t>
  </si>
  <si>
    <t>x0_Age</t>
  </si>
  <si>
    <t>x0_Sex</t>
  </si>
  <si>
    <t>x0_BMI</t>
  </si>
  <si>
    <t>x0_Sample_Date</t>
  </si>
  <si>
    <t>x0_Sample_Time</t>
  </si>
  <si>
    <t>x0_COVID_Start</t>
  </si>
  <si>
    <t>x0_Vaccine_1_Date</t>
  </si>
  <si>
    <t>x0_Vaccine_2_Date</t>
  </si>
  <si>
    <t>x0_Vaccine_3_Date</t>
  </si>
  <si>
    <t>x0_Symptoms</t>
  </si>
  <si>
    <t>x0_PMH</t>
  </si>
  <si>
    <t>x0_Sample_Minutes</t>
  </si>
  <si>
    <t>NaN</t>
  </si>
  <si>
    <t>x0_Sample_ID</t>
  </si>
  <si>
    <t>x0_Cortisol</t>
  </si>
  <si>
    <t>D2</t>
  </si>
  <si>
    <t>D3</t>
  </si>
  <si>
    <t>D4</t>
  </si>
  <si>
    <t>D5</t>
  </si>
  <si>
    <t>D6</t>
  </si>
  <si>
    <t>D7</t>
  </si>
  <si>
    <t>D10</t>
  </si>
  <si>
    <t>D12</t>
  </si>
  <si>
    <t>D13</t>
  </si>
  <si>
    <t>D14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</si>
  <si>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</si>
  <si>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</si>
  <si>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</si>
  <si>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</si>
  <si>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</si>
  <si>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</si>
  <si>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</si>
  <si>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</si>
  <si>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</si>
  <si>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</si>
  <si>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</si>
  <si>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</si>
  <si>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</si>
  <si>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</si>
  <si>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</si>
  <si>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</si>
  <si>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D44</t>
  </si>
  <si>
    <t>D46</t>
  </si>
  <si>
    <t>7/19/2021</t>
  </si>
  <si>
    <t>9:15AM</t>
  </si>
  <si>
    <t>10:45AM</t>
  </si>
  <si>
    <t>12PM</t>
  </si>
  <si>
    <t>11:15AM</t>
  </si>
  <si>
    <t>12:45PM</t>
  </si>
  <si>
    <t>12:15PM</t>
  </si>
  <si>
    <t>10:15AM</t>
  </si>
  <si>
    <t>11:45AM</t>
  </si>
  <si>
    <t>11:30AM</t>
  </si>
  <si>
    <t>9:45AM</t>
  </si>
  <si>
    <t>12:30PM</t>
  </si>
  <si>
    <t>8:30AM</t>
  </si>
  <si>
    <t>1:15PM</t>
  </si>
  <si>
    <t>original sample ID</t>
  </si>
  <si>
    <t>x0_DFSO</t>
  </si>
  <si>
    <t>x0_Collection_Time_Minutes</t>
  </si>
  <si>
    <t>x0_Cohort_ID</t>
  </si>
  <si>
    <t>x0_Resp_Symp</t>
  </si>
  <si>
    <t>x0_Sample_ID_Ext_LC</t>
  </si>
  <si>
    <t>NA</t>
  </si>
  <si>
    <t>x0_cortisol</t>
  </si>
  <si>
    <t>x0_galectin1</t>
  </si>
  <si>
    <t>x0_ebv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</si>
</sst>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E3BB-8526-4207-A8C2-E4EE7ED74F34}">
  <dimension ref="A1:K55"/>
  <sheetViews>
    <sheetView tabSelected="1" topLeftCell="A17" zoomScaleNormal="100" workbookViewId="0">
      <selection activeCell="D16" sqref="D16"/>
    </sheetView>
  </sheetViews>
  <sheetFormatPr baseColWidth="10" defaultColWidth="8.83203125" defaultRowHeight="15" x14ac:dyDescent="0.2"/>
  <cols>
    <col min="1" max="1" width="19.33203125" bestFit="1" customWidth="1"/>
    <col min="2" max="2" width="12.33203125" bestFit="1" customWidth="1"/>
    <col min="6" max="6" width="24.33203125" customWidth="1"/>
    <col min="7" max="8" width="31.1640625" customWidth="1"/>
    <col min="9" max="10" width="12.6640625" bestFit="1" customWidth="1"/>
  </cols>
  <sheetData>
    <row r="1" spans="1:11" s="33" customFormat="1" ht="16" x14ac:dyDescent="0.2">
      <c r="A1" s="3" t="s">
        <v>140</v>
      </c>
      <c r="B1" s="3" t="s">
        <v>138</v>
      </c>
      <c r="C1" s="4" t="s">
        <v>78</v>
      </c>
      <c r="D1" s="4" t="s">
        <v>79</v>
      </c>
      <c r="E1" s="4" t="s">
        <v>80</v>
      </c>
      <c r="F1" s="4" t="s">
        <v>136</v>
      </c>
      <c r="G1" s="4" t="s">
        <v>137</v>
      </c>
      <c r="H1" s="4" t="s">
        <v>139</v>
      </c>
      <c r="I1" s="36" t="s">
        <v>142</v>
      </c>
      <c r="J1" s="36" t="s">
        <v>143</v>
      </c>
      <c r="K1" s="36" t="s">
        <v>144</v>
      </c>
    </row>
    <row r="2" spans="1:11" x14ac:dyDescent="0.2">
      <c r="A2" s="3">
        <v>1</v>
      </c>
      <c r="B2" s="3">
        <v>4</v>
      </c>
      <c r="C2" s="3">
        <v>55</v>
      </c>
      <c r="D2" s="3">
        <v>1</v>
      </c>
      <c r="E2" s="3">
        <v>30.11</v>
      </c>
      <c r="F2" s="34">
        <v>247</v>
      </c>
      <c r="G2" s="34">
        <v>570</v>
      </c>
      <c r="H2" s="34">
        <v>0</v>
      </c>
      <c r="I2">
        <v>0.28505145601494603</v>
      </c>
      <c r="J2">
        <v>-1.3113710328065</v>
      </c>
      <c r="K2">
        <v>-0.86254202173078798</v>
      </c>
    </row>
    <row r="3" spans="1:11" x14ac:dyDescent="0.2">
      <c r="A3" s="3">
        <v>2</v>
      </c>
      <c r="B3" s="3">
        <v>4</v>
      </c>
      <c r="C3" s="3">
        <v>64</v>
      </c>
      <c r="D3" s="3">
        <v>2</v>
      </c>
      <c r="E3" s="3">
        <v>28.94</v>
      </c>
      <c r="F3" s="34">
        <v>374</v>
      </c>
      <c r="G3" s="34">
        <v>525</v>
      </c>
      <c r="H3" s="34">
        <v>1</v>
      </c>
      <c r="I3">
        <v>0.26034105388888401</v>
      </c>
      <c r="J3">
        <v>2.2860712743837601E-2</v>
      </c>
      <c r="K3">
        <v>-0.80917513583843903</v>
      </c>
    </row>
    <row r="4" spans="1:11" x14ac:dyDescent="0.2">
      <c r="A4" s="3">
        <v>3</v>
      </c>
      <c r="B4" s="3">
        <v>4</v>
      </c>
      <c r="C4" s="3">
        <v>77</v>
      </c>
      <c r="D4" s="3">
        <v>1</v>
      </c>
      <c r="E4" s="3">
        <v>31.39</v>
      </c>
      <c r="F4" s="34">
        <v>100</v>
      </c>
      <c r="G4" s="34">
        <v>660</v>
      </c>
      <c r="H4" s="34">
        <v>1</v>
      </c>
      <c r="I4">
        <v>-0.46693100868498399</v>
      </c>
      <c r="J4">
        <v>-1.7193948603260001</v>
      </c>
      <c r="K4">
        <v>0.80623202918869796</v>
      </c>
    </row>
    <row r="5" spans="1:11" x14ac:dyDescent="0.2">
      <c r="A5" s="3">
        <v>4</v>
      </c>
      <c r="B5" s="3">
        <v>4</v>
      </c>
      <c r="C5" s="3">
        <v>56</v>
      </c>
      <c r="D5" s="3">
        <v>1</v>
      </c>
      <c r="E5" s="3">
        <v>24.04</v>
      </c>
      <c r="F5" s="34">
        <v>162</v>
      </c>
      <c r="G5" s="34">
        <v>555</v>
      </c>
      <c r="H5" s="34">
        <v>1</v>
      </c>
      <c r="I5">
        <v>-0.32007259604941202</v>
      </c>
      <c r="J5">
        <v>-7.5853745738438796E-2</v>
      </c>
      <c r="K5">
        <v>-0.77867977247138198</v>
      </c>
    </row>
    <row r="6" spans="1:11" x14ac:dyDescent="0.2">
      <c r="A6" s="3">
        <v>5</v>
      </c>
      <c r="B6" s="3">
        <v>4</v>
      </c>
      <c r="C6" s="3">
        <v>63</v>
      </c>
      <c r="D6" s="3">
        <v>2</v>
      </c>
      <c r="E6" s="3">
        <v>42.82</v>
      </c>
      <c r="F6" s="34">
        <v>262</v>
      </c>
      <c r="G6" s="34">
        <v>645</v>
      </c>
      <c r="H6" s="34">
        <v>1</v>
      </c>
      <c r="I6">
        <v>8.7442322417079308E-3</v>
      </c>
      <c r="J6">
        <v>0.53660531631564701</v>
      </c>
      <c r="K6">
        <v>-8.99928164320207E-2</v>
      </c>
    </row>
    <row r="7" spans="1:11" x14ac:dyDescent="0.2">
      <c r="A7" s="3">
        <v>6</v>
      </c>
      <c r="B7" s="3">
        <v>4</v>
      </c>
      <c r="C7" s="3">
        <v>48</v>
      </c>
      <c r="D7" s="3">
        <v>2</v>
      </c>
      <c r="E7" s="3">
        <v>33.869999999999997</v>
      </c>
      <c r="F7" s="34">
        <v>522</v>
      </c>
      <c r="G7" s="34">
        <v>720</v>
      </c>
      <c r="H7" s="34">
        <v>1</v>
      </c>
      <c r="I7">
        <v>-0.47142380907154102</v>
      </c>
      <c r="J7">
        <v>3.3510100202440697E-2</v>
      </c>
      <c r="K7">
        <v>-8.2368975590256605E-2</v>
      </c>
    </row>
    <row r="8" spans="1:11" x14ac:dyDescent="0.2">
      <c r="A8" s="3">
        <v>7</v>
      </c>
      <c r="B8" s="3">
        <v>4</v>
      </c>
      <c r="C8" s="3">
        <v>50</v>
      </c>
      <c r="D8" s="3">
        <v>2</v>
      </c>
      <c r="E8" s="3">
        <v>28.02</v>
      </c>
      <c r="F8" s="34">
        <v>129</v>
      </c>
      <c r="G8" s="34">
        <v>675</v>
      </c>
      <c r="H8" s="34">
        <v>1</v>
      </c>
      <c r="I8">
        <v>-0.40038140295911301</v>
      </c>
      <c r="J8">
        <v>-0.31406316192336198</v>
      </c>
      <c r="K8">
        <v>3.23315469715028</v>
      </c>
    </row>
    <row r="9" spans="1:11" x14ac:dyDescent="0.2">
      <c r="A9" s="3">
        <v>8</v>
      </c>
      <c r="B9" s="3">
        <v>4</v>
      </c>
      <c r="C9" s="3">
        <v>37</v>
      </c>
      <c r="D9" s="3">
        <v>1</v>
      </c>
      <c r="E9" s="3">
        <v>23.34</v>
      </c>
      <c r="F9" s="34">
        <v>165</v>
      </c>
      <c r="G9" s="34">
        <v>720</v>
      </c>
      <c r="H9" s="34">
        <v>1</v>
      </c>
      <c r="I9">
        <v>-0.62754862250438703</v>
      </c>
      <c r="J9">
        <v>-0.51654860966874705</v>
      </c>
      <c r="K9">
        <v>-0.85491818088902405</v>
      </c>
    </row>
    <row r="10" spans="1:11" x14ac:dyDescent="0.2">
      <c r="A10" s="3">
        <v>9</v>
      </c>
      <c r="B10" s="3">
        <v>4</v>
      </c>
      <c r="C10" s="3">
        <v>57</v>
      </c>
      <c r="D10" s="3">
        <v>1</v>
      </c>
      <c r="E10" s="3">
        <v>30.02</v>
      </c>
      <c r="F10" s="34">
        <v>207</v>
      </c>
      <c r="G10" s="34">
        <v>675</v>
      </c>
      <c r="H10" s="34">
        <v>1</v>
      </c>
      <c r="I10">
        <v>-0.138114180393865</v>
      </c>
      <c r="J10">
        <v>-0.470429963728351</v>
      </c>
      <c r="K10">
        <v>-0.73801928798197303</v>
      </c>
    </row>
    <row r="11" spans="1:11" x14ac:dyDescent="0.2">
      <c r="A11" s="3">
        <v>10</v>
      </c>
      <c r="B11" s="3">
        <v>4</v>
      </c>
      <c r="C11" s="3">
        <v>70</v>
      </c>
      <c r="D11" s="3">
        <v>2</v>
      </c>
      <c r="E11" s="3">
        <v>30.4</v>
      </c>
      <c r="F11" s="34">
        <v>231</v>
      </c>
      <c r="G11" s="34">
        <v>765</v>
      </c>
      <c r="H11" s="34">
        <v>1</v>
      </c>
      <c r="I11">
        <v>-0.79013183649290797</v>
      </c>
      <c r="J11">
        <v>0.84365817037511404</v>
      </c>
      <c r="K11">
        <v>-0.77105593162961805</v>
      </c>
    </row>
    <row r="12" spans="1:11" x14ac:dyDescent="0.2">
      <c r="A12" s="3">
        <v>11</v>
      </c>
      <c r="B12" s="3">
        <v>4</v>
      </c>
      <c r="C12" s="3">
        <v>43</v>
      </c>
      <c r="D12" s="3">
        <v>2</v>
      </c>
      <c r="E12" s="3">
        <v>28.75</v>
      </c>
      <c r="F12" s="34">
        <v>159</v>
      </c>
      <c r="G12" s="34">
        <v>735</v>
      </c>
      <c r="H12" s="34">
        <v>1</v>
      </c>
      <c r="I12">
        <v>-2.63557707782664E-2</v>
      </c>
      <c r="J12">
        <v>-0.94693310150674503</v>
      </c>
      <c r="K12">
        <v>1.3034758707570899</v>
      </c>
    </row>
    <row r="13" spans="1:11" x14ac:dyDescent="0.2">
      <c r="A13" s="3">
        <v>12</v>
      </c>
      <c r="B13" s="3">
        <v>4</v>
      </c>
      <c r="C13" s="3">
        <v>54</v>
      </c>
      <c r="D13" s="3">
        <v>2</v>
      </c>
      <c r="E13" s="3">
        <v>24.13</v>
      </c>
      <c r="F13" s="34" t="s">
        <v>90</v>
      </c>
      <c r="G13" s="34">
        <v>615</v>
      </c>
      <c r="H13" s="34">
        <v>1</v>
      </c>
      <c r="I13">
        <v>-0.37454780073641197</v>
      </c>
      <c r="J13">
        <v>0.80369023179458798</v>
      </c>
      <c r="K13">
        <v>2.8273969456830601</v>
      </c>
    </row>
    <row r="14" spans="1:11" x14ac:dyDescent="0.2">
      <c r="A14" s="3">
        <v>13</v>
      </c>
      <c r="B14" s="3">
        <v>4</v>
      </c>
      <c r="C14" s="3">
        <v>54</v>
      </c>
      <c r="D14" s="3">
        <v>2</v>
      </c>
      <c r="E14" s="3">
        <v>39.159999999999997</v>
      </c>
      <c r="F14" s="34">
        <v>504</v>
      </c>
      <c r="G14" s="34">
        <v>600</v>
      </c>
      <c r="H14" s="34">
        <v>1</v>
      </c>
      <c r="I14">
        <v>-0.64748542421973199</v>
      </c>
      <c r="J14">
        <v>-0.395572142133293</v>
      </c>
      <c r="K14">
        <v>0.36404926036637703</v>
      </c>
    </row>
    <row r="15" spans="1:11" x14ac:dyDescent="0.2">
      <c r="A15" s="3">
        <v>14</v>
      </c>
      <c r="B15" s="3">
        <v>4</v>
      </c>
      <c r="C15" s="3">
        <v>31</v>
      </c>
      <c r="D15" s="3">
        <v>1</v>
      </c>
      <c r="E15" s="3" t="s">
        <v>90</v>
      </c>
      <c r="F15" s="34">
        <v>331</v>
      </c>
      <c r="G15" s="34">
        <v>720</v>
      </c>
      <c r="H15" s="34">
        <v>1</v>
      </c>
      <c r="I15">
        <v>-0.54695901557052595</v>
      </c>
      <c r="J15">
        <v>-0.42587545217634998</v>
      </c>
      <c r="K15">
        <v>0.50297258237185705</v>
      </c>
    </row>
    <row r="16" spans="1:11" x14ac:dyDescent="0.2">
      <c r="A16" s="3">
        <v>15</v>
      </c>
      <c r="B16" s="3">
        <v>4</v>
      </c>
      <c r="C16" s="3">
        <v>84</v>
      </c>
      <c r="D16" s="3">
        <v>1</v>
      </c>
      <c r="E16" s="3">
        <v>22.94</v>
      </c>
      <c r="F16" s="34">
        <v>261</v>
      </c>
      <c r="G16" s="34">
        <v>660</v>
      </c>
      <c r="H16" s="34">
        <v>0</v>
      </c>
      <c r="I16">
        <v>-0.48040940984465402</v>
      </c>
      <c r="J16">
        <v>-0.67695848361988697</v>
      </c>
      <c r="K16">
        <v>-0.68634658894334999</v>
      </c>
    </row>
    <row r="17" spans="1:11" x14ac:dyDescent="0.2">
      <c r="A17" s="3">
        <v>16</v>
      </c>
      <c r="B17" s="3">
        <v>4</v>
      </c>
      <c r="C17" s="3">
        <v>64</v>
      </c>
      <c r="D17" s="3">
        <v>2</v>
      </c>
      <c r="E17" s="3">
        <v>23.67</v>
      </c>
      <c r="F17" s="34">
        <v>188</v>
      </c>
      <c r="G17" s="34">
        <v>705</v>
      </c>
      <c r="H17" s="34">
        <v>1</v>
      </c>
      <c r="I17">
        <v>-0.181357384114473</v>
      </c>
      <c r="J17">
        <v>-0.51268849819647</v>
      </c>
      <c r="K17">
        <v>-0.85491818088902405</v>
      </c>
    </row>
    <row r="18" spans="1:11" x14ac:dyDescent="0.2">
      <c r="A18" s="3">
        <v>17</v>
      </c>
      <c r="B18" s="3">
        <v>4</v>
      </c>
      <c r="C18" s="3">
        <v>22</v>
      </c>
      <c r="D18" s="3">
        <v>2</v>
      </c>
      <c r="E18" s="3">
        <v>26.39</v>
      </c>
      <c r="F18" s="34">
        <v>319</v>
      </c>
      <c r="G18" s="34">
        <v>600</v>
      </c>
      <c r="H18" s="34">
        <v>1</v>
      </c>
      <c r="I18">
        <v>8.7442322417079308E-3</v>
      </c>
      <c r="J18">
        <v>-0.74466648907716704</v>
      </c>
      <c r="K18">
        <v>-0.88626063768294305</v>
      </c>
    </row>
    <row r="19" spans="1:11" x14ac:dyDescent="0.2">
      <c r="A19" s="3">
        <v>18</v>
      </c>
      <c r="B19" s="3">
        <v>4</v>
      </c>
      <c r="C19" s="3">
        <v>51</v>
      </c>
      <c r="D19" s="3">
        <v>1</v>
      </c>
      <c r="E19" s="3">
        <v>28.02</v>
      </c>
      <c r="F19" s="34">
        <v>54</v>
      </c>
      <c r="G19" s="34">
        <v>690</v>
      </c>
      <c r="H19" s="34">
        <v>1</v>
      </c>
      <c r="I19">
        <v>2.0358396066512601</v>
      </c>
      <c r="J19">
        <v>-0.19214319130499899</v>
      </c>
      <c r="K19">
        <v>-0.80832804241157596</v>
      </c>
    </row>
    <row r="20" spans="1:11" x14ac:dyDescent="0.2">
      <c r="A20" s="3">
        <v>19</v>
      </c>
      <c r="B20" s="3">
        <v>4</v>
      </c>
      <c r="C20" s="3">
        <v>63</v>
      </c>
      <c r="D20" s="3">
        <v>2</v>
      </c>
      <c r="E20" s="3">
        <v>39.14</v>
      </c>
      <c r="F20" s="34" t="s">
        <v>90</v>
      </c>
      <c r="G20" s="34">
        <v>600</v>
      </c>
      <c r="H20" s="34">
        <v>1</v>
      </c>
      <c r="I20">
        <v>-0.85920864243621697</v>
      </c>
      <c r="J20">
        <v>0.44526847794744001</v>
      </c>
      <c r="K20">
        <v>-0.52455174441257701</v>
      </c>
    </row>
    <row r="21" spans="1:11" x14ac:dyDescent="0.2">
      <c r="A21" s="3">
        <v>20</v>
      </c>
      <c r="B21" s="3">
        <v>4</v>
      </c>
      <c r="C21" s="3">
        <v>43</v>
      </c>
      <c r="D21" s="3">
        <v>2</v>
      </c>
      <c r="E21" s="3">
        <v>39.83</v>
      </c>
      <c r="F21" s="34" t="s">
        <v>90</v>
      </c>
      <c r="G21" s="34">
        <v>675</v>
      </c>
      <c r="H21" s="34">
        <v>1</v>
      </c>
      <c r="I21">
        <v>-0.93727104915264003</v>
      </c>
      <c r="J21">
        <v>-0.79322999186547904</v>
      </c>
      <c r="K21">
        <v>-0.86593039543823802</v>
      </c>
    </row>
    <row r="22" spans="1:11" x14ac:dyDescent="0.2">
      <c r="A22" s="3">
        <v>21</v>
      </c>
      <c r="B22" s="3">
        <v>4</v>
      </c>
      <c r="C22" s="3">
        <v>22</v>
      </c>
      <c r="D22" s="3">
        <v>2</v>
      </c>
      <c r="E22" s="3">
        <v>16.989999999999998</v>
      </c>
      <c r="F22" s="34">
        <v>562</v>
      </c>
      <c r="G22" s="34">
        <v>705</v>
      </c>
      <c r="H22" s="34">
        <v>1</v>
      </c>
      <c r="I22">
        <v>2.2739580271387698</v>
      </c>
      <c r="J22">
        <v>-0.99821948961797402</v>
      </c>
      <c r="K22">
        <v>-0.88456645082921703</v>
      </c>
    </row>
    <row r="23" spans="1:11" x14ac:dyDescent="0.2">
      <c r="A23" s="3">
        <v>22</v>
      </c>
      <c r="B23" s="3">
        <v>4</v>
      </c>
      <c r="C23" s="3">
        <v>21</v>
      </c>
      <c r="D23" s="3">
        <v>2</v>
      </c>
      <c r="E23" s="3">
        <v>20.12</v>
      </c>
      <c r="F23" s="34">
        <v>187</v>
      </c>
      <c r="G23" s="34">
        <v>585</v>
      </c>
      <c r="H23" s="34">
        <v>1</v>
      </c>
      <c r="I23">
        <v>0.57848748126193095</v>
      </c>
      <c r="J23">
        <v>-0.81004981773701601</v>
      </c>
      <c r="K23">
        <v>-0.84051759263235803</v>
      </c>
    </row>
    <row r="24" spans="1:11" x14ac:dyDescent="0.2">
      <c r="A24" s="3">
        <v>23</v>
      </c>
      <c r="B24" s="3">
        <v>4</v>
      </c>
      <c r="C24" s="3">
        <v>63</v>
      </c>
      <c r="D24" s="3">
        <v>2</v>
      </c>
      <c r="E24" s="3">
        <v>28.47</v>
      </c>
      <c r="F24" s="34">
        <v>49</v>
      </c>
      <c r="G24" s="34">
        <v>735</v>
      </c>
      <c r="H24" s="34">
        <v>1</v>
      </c>
      <c r="I24">
        <v>6.4904237073666798E-2</v>
      </c>
      <c r="J24">
        <v>1.83461084843935</v>
      </c>
      <c r="K24">
        <v>-0.80070420156981204</v>
      </c>
    </row>
    <row r="25" spans="1:11" x14ac:dyDescent="0.2">
      <c r="A25" s="3">
        <v>24</v>
      </c>
      <c r="B25" s="3">
        <v>4</v>
      </c>
      <c r="C25" s="3">
        <v>48</v>
      </c>
      <c r="D25" s="3">
        <v>2</v>
      </c>
      <c r="E25" s="3">
        <v>48.78</v>
      </c>
      <c r="F25" s="34">
        <v>227</v>
      </c>
      <c r="G25" s="34">
        <v>735</v>
      </c>
      <c r="H25" s="34">
        <v>1</v>
      </c>
      <c r="I25">
        <v>-6.00517736774418E-2</v>
      </c>
      <c r="J25">
        <v>-1.01227696806047</v>
      </c>
      <c r="K25">
        <v>-0.56267094862139799</v>
      </c>
    </row>
    <row r="26" spans="1:11" x14ac:dyDescent="0.2">
      <c r="A26" s="3">
        <v>25</v>
      </c>
      <c r="B26" s="3">
        <v>4</v>
      </c>
      <c r="C26" s="3">
        <v>35</v>
      </c>
      <c r="D26" s="3">
        <v>2</v>
      </c>
      <c r="E26" s="3">
        <v>41.85</v>
      </c>
      <c r="F26" s="34">
        <v>547</v>
      </c>
      <c r="G26" s="34">
        <v>765</v>
      </c>
      <c r="H26" s="34">
        <v>1</v>
      </c>
      <c r="I26">
        <v>0.32352105932483699</v>
      </c>
      <c r="J26">
        <v>-0.35278266296452598</v>
      </c>
      <c r="K26">
        <v>-0.78376233303255805</v>
      </c>
    </row>
    <row r="27" spans="1:11" x14ac:dyDescent="0.2">
      <c r="A27" s="3">
        <v>26</v>
      </c>
      <c r="B27" s="3">
        <v>4</v>
      </c>
      <c r="C27" s="3">
        <v>53</v>
      </c>
      <c r="D27" s="3">
        <v>2</v>
      </c>
      <c r="E27" s="3">
        <v>50.74</v>
      </c>
      <c r="F27" s="34">
        <v>236</v>
      </c>
      <c r="G27" s="34">
        <v>600</v>
      </c>
      <c r="H27" s="34">
        <v>1</v>
      </c>
      <c r="I27">
        <v>0.28505145601494603</v>
      </c>
      <c r="J27">
        <v>0.45626405570072198</v>
      </c>
      <c r="K27">
        <v>-0.749031502531188</v>
      </c>
    </row>
    <row r="28" spans="1:11" x14ac:dyDescent="0.2">
      <c r="A28" s="3">
        <v>27</v>
      </c>
      <c r="B28" s="3">
        <v>4</v>
      </c>
      <c r="C28" s="3">
        <v>51</v>
      </c>
      <c r="D28" s="3">
        <v>2</v>
      </c>
      <c r="E28" s="3">
        <v>21.83</v>
      </c>
      <c r="F28" s="34">
        <v>328</v>
      </c>
      <c r="G28" s="34">
        <v>615</v>
      </c>
      <c r="H28" s="34">
        <v>0</v>
      </c>
      <c r="I28">
        <v>-0.49781901134256201</v>
      </c>
      <c r="J28">
        <v>-0.18599607140932201</v>
      </c>
      <c r="K28">
        <v>-0.57537735002433799</v>
      </c>
    </row>
    <row r="29" spans="1:11" x14ac:dyDescent="0.2">
      <c r="A29" s="3">
        <v>28</v>
      </c>
      <c r="B29" s="3">
        <v>4</v>
      </c>
      <c r="C29" s="3">
        <v>30</v>
      </c>
      <c r="D29" s="3">
        <v>2</v>
      </c>
      <c r="E29" s="3">
        <v>25.64</v>
      </c>
      <c r="F29" s="34" t="s">
        <v>90</v>
      </c>
      <c r="G29" s="34">
        <v>750</v>
      </c>
      <c r="H29" s="34">
        <v>1</v>
      </c>
      <c r="I29">
        <v>-0.654224624799567</v>
      </c>
      <c r="J29">
        <v>-0.68257107135072204</v>
      </c>
      <c r="K29">
        <v>-0.78799780016687204</v>
      </c>
    </row>
    <row r="30" spans="1:11" x14ac:dyDescent="0.2">
      <c r="A30" s="3">
        <v>29</v>
      </c>
      <c r="B30" s="3">
        <v>4</v>
      </c>
      <c r="C30" s="3">
        <v>59</v>
      </c>
      <c r="D30" s="3">
        <v>2</v>
      </c>
      <c r="E30" s="3">
        <v>35.28</v>
      </c>
      <c r="F30" s="34">
        <v>313</v>
      </c>
      <c r="G30" s="34">
        <v>750</v>
      </c>
      <c r="H30" s="34">
        <v>1</v>
      </c>
      <c r="I30">
        <v>0.31060425821348697</v>
      </c>
      <c r="J30">
        <v>-1.32952360162595</v>
      </c>
      <c r="K30">
        <v>-0.77105593162961805</v>
      </c>
    </row>
    <row r="31" spans="1:11" x14ac:dyDescent="0.2">
      <c r="A31" s="3">
        <v>30</v>
      </c>
      <c r="B31" s="3">
        <v>4</v>
      </c>
      <c r="C31" s="3">
        <v>61</v>
      </c>
      <c r="D31" s="3">
        <v>2</v>
      </c>
      <c r="E31" s="3">
        <v>23.14</v>
      </c>
      <c r="F31" s="34">
        <v>445</v>
      </c>
      <c r="G31" s="34">
        <v>510</v>
      </c>
      <c r="H31" s="34">
        <v>0</v>
      </c>
      <c r="I31">
        <v>-1.76509700293127E-2</v>
      </c>
      <c r="J31">
        <v>-0.32406859955921902</v>
      </c>
      <c r="K31">
        <v>-0.145053889178095</v>
      </c>
    </row>
    <row r="32" spans="1:11" x14ac:dyDescent="0.2">
      <c r="A32" s="3">
        <v>31</v>
      </c>
      <c r="B32" s="3">
        <v>4</v>
      </c>
      <c r="C32" s="3">
        <v>48</v>
      </c>
      <c r="D32" s="3">
        <v>2</v>
      </c>
      <c r="E32" s="3">
        <v>34.450000000000003</v>
      </c>
      <c r="F32" s="34">
        <v>288</v>
      </c>
      <c r="G32" s="34">
        <v>645</v>
      </c>
      <c r="H32" s="34">
        <v>1</v>
      </c>
      <c r="I32">
        <v>1.4152715532581199</v>
      </c>
      <c r="J32">
        <v>-1.3407111087135899</v>
      </c>
      <c r="K32">
        <v>3.06543019863147</v>
      </c>
    </row>
    <row r="33" spans="1:11" x14ac:dyDescent="0.2">
      <c r="A33" s="3">
        <v>32</v>
      </c>
      <c r="B33" s="3">
        <v>4</v>
      </c>
      <c r="C33" s="3">
        <v>50</v>
      </c>
      <c r="D33" s="3">
        <v>2</v>
      </c>
      <c r="E33" s="3">
        <v>35.24</v>
      </c>
      <c r="F33" s="34">
        <v>180</v>
      </c>
      <c r="G33" s="34">
        <v>645</v>
      </c>
      <c r="H33" s="34">
        <v>1</v>
      </c>
      <c r="I33">
        <v>6.4904237073666798E-2</v>
      </c>
      <c r="J33">
        <v>1.31164825562217</v>
      </c>
      <c r="K33">
        <v>-0.78799780016687204</v>
      </c>
    </row>
    <row r="34" spans="1:11" x14ac:dyDescent="0.2">
      <c r="A34" s="3">
        <v>33</v>
      </c>
      <c r="B34" s="3">
        <v>4</v>
      </c>
      <c r="C34" s="3">
        <v>23</v>
      </c>
      <c r="D34" s="3">
        <v>1</v>
      </c>
      <c r="E34" s="3">
        <v>32.200000000000003</v>
      </c>
      <c r="F34" s="34">
        <v>56</v>
      </c>
      <c r="G34" s="34">
        <v>690</v>
      </c>
      <c r="H34" s="34">
        <v>1</v>
      </c>
      <c r="I34">
        <v>-0.34225579795803501</v>
      </c>
      <c r="J34">
        <v>0.57858940977295803</v>
      </c>
      <c r="K34">
        <v>-0.39833482381003699</v>
      </c>
    </row>
    <row r="35" spans="1:11" x14ac:dyDescent="0.2">
      <c r="A35" s="3">
        <v>34</v>
      </c>
      <c r="B35" s="3">
        <v>4</v>
      </c>
      <c r="C35" s="3">
        <v>70</v>
      </c>
      <c r="D35" s="3">
        <v>2</v>
      </c>
      <c r="E35" s="3">
        <v>30.87</v>
      </c>
      <c r="F35" s="34">
        <v>298</v>
      </c>
      <c r="G35" s="34">
        <v>675</v>
      </c>
      <c r="H35" s="34">
        <v>1</v>
      </c>
      <c r="I35">
        <v>-0.46243820829842702</v>
      </c>
      <c r="J35">
        <v>0.29968379977621501</v>
      </c>
      <c r="K35">
        <v>0.37844984862304298</v>
      </c>
    </row>
    <row r="36" spans="1:11" x14ac:dyDescent="0.2">
      <c r="A36" s="3">
        <v>35</v>
      </c>
      <c r="B36" s="3">
        <v>4</v>
      </c>
      <c r="C36" s="3">
        <v>53</v>
      </c>
      <c r="D36" s="3">
        <v>2</v>
      </c>
      <c r="E36" s="3">
        <v>26.9</v>
      </c>
      <c r="F36" s="34">
        <v>45</v>
      </c>
      <c r="G36" s="34">
        <v>795</v>
      </c>
      <c r="H36" s="34">
        <v>1</v>
      </c>
      <c r="I36">
        <v>-0.58879821917033504</v>
      </c>
      <c r="J36">
        <v>-0.56724485992013496</v>
      </c>
      <c r="K36">
        <v>-0.76089081050726604</v>
      </c>
    </row>
    <row r="37" spans="1:11" x14ac:dyDescent="0.2">
      <c r="A37" s="3">
        <v>36</v>
      </c>
      <c r="B37" s="3">
        <v>4</v>
      </c>
      <c r="C37" s="3">
        <v>71</v>
      </c>
      <c r="D37" s="3">
        <v>2</v>
      </c>
      <c r="E37" s="3">
        <v>34.96</v>
      </c>
      <c r="F37" s="34" t="s">
        <v>90</v>
      </c>
      <c r="G37" s="34">
        <v>675</v>
      </c>
      <c r="H37" s="34">
        <v>1</v>
      </c>
      <c r="I37">
        <v>-0.68258542723970606</v>
      </c>
      <c r="J37">
        <v>0.74470155805977101</v>
      </c>
      <c r="K37">
        <v>-0.29922489286710402</v>
      </c>
    </row>
    <row r="38" spans="1:11" x14ac:dyDescent="0.2">
      <c r="A38" s="3">
        <v>37</v>
      </c>
      <c r="B38" s="3">
        <v>4</v>
      </c>
      <c r="C38" s="3">
        <v>28</v>
      </c>
      <c r="D38" s="3">
        <v>2</v>
      </c>
      <c r="E38" s="3">
        <v>34.33</v>
      </c>
      <c r="F38" s="34">
        <v>206</v>
      </c>
      <c r="G38" s="34">
        <v>720</v>
      </c>
      <c r="H38" s="34">
        <v>1</v>
      </c>
      <c r="I38">
        <v>-5.19085729768076E-2</v>
      </c>
      <c r="J38">
        <v>-0.17778974706653899</v>
      </c>
      <c r="K38">
        <v>-0.18571437366750401</v>
      </c>
    </row>
    <row r="39" spans="1:11" x14ac:dyDescent="0.2">
      <c r="A39" s="3">
        <v>38</v>
      </c>
      <c r="B39" s="3">
        <v>4</v>
      </c>
      <c r="C39" s="3">
        <v>33</v>
      </c>
      <c r="D39" s="3">
        <v>2</v>
      </c>
      <c r="E39" s="3">
        <v>30.67</v>
      </c>
      <c r="F39" s="34">
        <v>218</v>
      </c>
      <c r="G39" s="34">
        <v>735</v>
      </c>
      <c r="H39" s="34">
        <v>1</v>
      </c>
      <c r="I39">
        <v>-0.36415819984249898</v>
      </c>
      <c r="J39">
        <v>-0.74577501551297898</v>
      </c>
      <c r="K39">
        <v>0.39878009086774702</v>
      </c>
    </row>
    <row r="40" spans="1:11" x14ac:dyDescent="0.2">
      <c r="A40" s="3">
        <v>39</v>
      </c>
      <c r="B40" s="3">
        <v>4</v>
      </c>
      <c r="C40" s="3">
        <v>47</v>
      </c>
      <c r="D40" s="3">
        <v>2</v>
      </c>
      <c r="E40" s="3">
        <v>20.62</v>
      </c>
      <c r="F40" s="34">
        <v>66</v>
      </c>
      <c r="G40" s="34">
        <v>615</v>
      </c>
      <c r="H40" s="34">
        <v>1</v>
      </c>
      <c r="I40">
        <v>0.37771546398767802</v>
      </c>
      <c r="J40">
        <v>-0.51500420633341704</v>
      </c>
      <c r="K40">
        <v>-5.6956172784376001E-2</v>
      </c>
    </row>
    <row r="41" spans="1:11" x14ac:dyDescent="0.2">
      <c r="A41" s="3">
        <v>40</v>
      </c>
      <c r="B41" s="3">
        <v>4</v>
      </c>
      <c r="C41" s="3">
        <v>44</v>
      </c>
      <c r="D41" s="3">
        <v>2</v>
      </c>
      <c r="E41" s="3">
        <v>28.23</v>
      </c>
      <c r="F41" s="34">
        <v>539</v>
      </c>
      <c r="G41" s="34">
        <v>675</v>
      </c>
      <c r="H41" s="34">
        <v>1</v>
      </c>
      <c r="I41">
        <v>-0.23499018872899399</v>
      </c>
      <c r="J41">
        <v>-0.54195682481968299</v>
      </c>
      <c r="K41">
        <v>-0.87101295599941497</v>
      </c>
    </row>
    <row r="42" spans="1:11" x14ac:dyDescent="0.2">
      <c r="A42" s="3">
        <v>41</v>
      </c>
      <c r="B42" s="3">
        <v>4</v>
      </c>
      <c r="C42" s="3">
        <v>31</v>
      </c>
      <c r="D42" s="3">
        <v>1</v>
      </c>
      <c r="E42" s="3">
        <v>42.09</v>
      </c>
      <c r="F42" s="34">
        <v>288</v>
      </c>
      <c r="G42" s="34">
        <v>735</v>
      </c>
      <c r="H42" s="34">
        <v>0</v>
      </c>
      <c r="I42">
        <v>0.15700664499808001</v>
      </c>
      <c r="J42">
        <v>-0.79689099907501304</v>
      </c>
      <c r="K42">
        <v>-0.87694260998745299</v>
      </c>
    </row>
    <row r="43" spans="1:11" x14ac:dyDescent="0.2">
      <c r="A43" s="3">
        <v>42</v>
      </c>
      <c r="B43" s="3">
        <v>4</v>
      </c>
      <c r="C43" s="3">
        <v>44</v>
      </c>
      <c r="D43" s="3">
        <v>1</v>
      </c>
      <c r="E43" s="3">
        <v>37.46</v>
      </c>
      <c r="F43" s="34">
        <v>55</v>
      </c>
      <c r="G43" s="34">
        <v>555</v>
      </c>
      <c r="H43" s="34">
        <v>1</v>
      </c>
      <c r="I43">
        <v>-0.30266299455150403</v>
      </c>
      <c r="J43">
        <v>-0.56418654669511903</v>
      </c>
      <c r="K43">
        <v>0.27679863739952099</v>
      </c>
    </row>
    <row r="44" spans="1:11" x14ac:dyDescent="0.2">
      <c r="A44" s="3">
        <v>43</v>
      </c>
      <c r="B44" s="3">
        <v>4</v>
      </c>
      <c r="C44" s="3">
        <v>47</v>
      </c>
      <c r="D44" s="3">
        <v>2</v>
      </c>
      <c r="E44" s="3">
        <v>32.28</v>
      </c>
      <c r="F44" s="34">
        <v>343</v>
      </c>
      <c r="G44" s="34">
        <v>735</v>
      </c>
      <c r="H44" s="34">
        <v>1</v>
      </c>
      <c r="I44">
        <v>-0.48040940984465402</v>
      </c>
      <c r="J44">
        <v>-2.79772423431951E-2</v>
      </c>
      <c r="K44">
        <v>1.9684442108443001</v>
      </c>
    </row>
    <row r="45" spans="1:11" x14ac:dyDescent="0.2">
      <c r="A45" s="3">
        <v>44</v>
      </c>
      <c r="B45" s="3">
        <v>4</v>
      </c>
      <c r="C45" s="3">
        <v>53</v>
      </c>
      <c r="D45" s="3">
        <v>2</v>
      </c>
      <c r="E45" s="3">
        <v>38.909999999999997</v>
      </c>
      <c r="F45" s="34">
        <v>615</v>
      </c>
      <c r="G45" s="34">
        <v>705</v>
      </c>
      <c r="H45" s="34">
        <v>1</v>
      </c>
      <c r="I45">
        <v>-0.70645342929328903</v>
      </c>
      <c r="J45">
        <v>-1.08994377411909</v>
      </c>
      <c r="K45">
        <v>-7.6439321602217794E-2</v>
      </c>
    </row>
    <row r="46" spans="1:11" x14ac:dyDescent="0.2">
      <c r="A46" s="3">
        <v>45</v>
      </c>
      <c r="B46" s="3">
        <v>4</v>
      </c>
      <c r="C46" s="3">
        <v>54</v>
      </c>
      <c r="D46" s="3">
        <v>2</v>
      </c>
      <c r="E46" s="3">
        <v>35.340000000000003</v>
      </c>
      <c r="F46" s="34" t="s">
        <v>90</v>
      </c>
      <c r="G46" s="34">
        <v>750</v>
      </c>
      <c r="H46" s="34">
        <v>1</v>
      </c>
      <c r="I46">
        <v>-0.296766194044149</v>
      </c>
      <c r="J46">
        <v>-0.22481064025161701</v>
      </c>
      <c r="K46">
        <v>-0.82611700437569202</v>
      </c>
    </row>
    <row r="47" spans="1:11" x14ac:dyDescent="0.2">
      <c r="A47" s="3">
        <v>46</v>
      </c>
      <c r="B47" s="3">
        <v>4</v>
      </c>
      <c r="C47" s="3">
        <v>37</v>
      </c>
      <c r="D47" s="3">
        <v>1</v>
      </c>
      <c r="E47" s="3">
        <v>21.77</v>
      </c>
      <c r="F47" s="34">
        <v>227</v>
      </c>
      <c r="G47" s="34">
        <v>705</v>
      </c>
      <c r="H47" s="34">
        <v>1</v>
      </c>
      <c r="I47">
        <v>-0.138114180393865</v>
      </c>
      <c r="J47">
        <v>0.91943079533953198</v>
      </c>
      <c r="K47">
        <v>-0.14759516945868301</v>
      </c>
    </row>
    <row r="48" spans="1:11" x14ac:dyDescent="0.2">
      <c r="A48" s="3">
        <v>47</v>
      </c>
      <c r="B48" s="3">
        <v>4</v>
      </c>
      <c r="C48" s="3">
        <v>52</v>
      </c>
      <c r="D48" s="3">
        <v>2</v>
      </c>
      <c r="E48" s="3">
        <v>26.03</v>
      </c>
      <c r="F48" s="34">
        <v>285</v>
      </c>
      <c r="G48" s="34">
        <v>765</v>
      </c>
      <c r="H48" s="34">
        <v>0</v>
      </c>
      <c r="I48">
        <v>-0.22853178817331901</v>
      </c>
      <c r="J48">
        <v>-0.18148483518591199</v>
      </c>
      <c r="K48">
        <v>-0.64822738473452901</v>
      </c>
    </row>
    <row r="49" spans="1:11" x14ac:dyDescent="0.2">
      <c r="A49" s="3">
        <v>48</v>
      </c>
      <c r="B49" s="3">
        <v>4</v>
      </c>
      <c r="C49" s="3">
        <v>29</v>
      </c>
      <c r="D49" s="3">
        <v>2</v>
      </c>
      <c r="E49" s="3">
        <v>18.36</v>
      </c>
      <c r="F49" s="34">
        <v>361</v>
      </c>
      <c r="G49" s="34">
        <v>585</v>
      </c>
      <c r="H49" s="34">
        <v>0</v>
      </c>
      <c r="I49">
        <v>1.64889717335907</v>
      </c>
      <c r="J49">
        <v>-1.0826809528592101</v>
      </c>
      <c r="K49">
        <v>-0.83543503207118197</v>
      </c>
    </row>
    <row r="50" spans="1:11" x14ac:dyDescent="0.2">
      <c r="A50" s="3">
        <v>49</v>
      </c>
      <c r="B50" s="3">
        <v>4</v>
      </c>
      <c r="C50" s="3">
        <v>48</v>
      </c>
      <c r="D50" s="3">
        <v>2</v>
      </c>
      <c r="E50" s="3">
        <v>21.97</v>
      </c>
      <c r="F50" s="34">
        <v>62</v>
      </c>
      <c r="G50" s="34">
        <v>675</v>
      </c>
      <c r="H50" s="34">
        <v>1</v>
      </c>
      <c r="I50" t="s">
        <v>141</v>
      </c>
      <c r="J50">
        <v>5.0590017228011097E-2</v>
      </c>
      <c r="K50">
        <v>-0.89642575880529496</v>
      </c>
    </row>
    <row r="51" spans="1:11" x14ac:dyDescent="0.2">
      <c r="A51" s="3">
        <v>50</v>
      </c>
      <c r="B51" s="3">
        <v>4</v>
      </c>
      <c r="C51" s="3">
        <v>53</v>
      </c>
      <c r="D51" s="3">
        <v>2</v>
      </c>
      <c r="E51" s="3">
        <v>35</v>
      </c>
      <c r="F51" s="34">
        <v>357</v>
      </c>
      <c r="G51" s="34">
        <v>690</v>
      </c>
      <c r="H51" s="34">
        <v>0</v>
      </c>
      <c r="I51">
        <v>-0.82130063917464502</v>
      </c>
      <c r="J51">
        <v>-0.74318666009732104</v>
      </c>
      <c r="K51">
        <v>-0.82103444381451596</v>
      </c>
    </row>
    <row r="52" spans="1:11" x14ac:dyDescent="0.2">
      <c r="A52" s="3">
        <v>51</v>
      </c>
      <c r="B52" s="3">
        <v>4</v>
      </c>
      <c r="C52" s="3">
        <v>62</v>
      </c>
      <c r="D52" s="3">
        <v>1</v>
      </c>
      <c r="E52" s="3">
        <v>35.979999999999997</v>
      </c>
      <c r="F52" s="34">
        <v>81</v>
      </c>
      <c r="G52" s="34">
        <v>735</v>
      </c>
      <c r="H52" s="34">
        <v>1</v>
      </c>
      <c r="I52">
        <v>0.24826665285001301</v>
      </c>
      <c r="J52">
        <v>0.34811097892517201</v>
      </c>
      <c r="K52">
        <v>1.5330381894368801</v>
      </c>
    </row>
    <row r="53" spans="1:11" x14ac:dyDescent="0.2">
      <c r="A53" s="3">
        <v>52</v>
      </c>
      <c r="B53" s="3">
        <v>4</v>
      </c>
      <c r="C53" s="3">
        <v>20</v>
      </c>
      <c r="D53" s="3">
        <v>2</v>
      </c>
      <c r="E53" s="3">
        <v>29.99</v>
      </c>
      <c r="F53" s="34">
        <v>354</v>
      </c>
      <c r="G53" s="34">
        <v>705</v>
      </c>
      <c r="H53" s="34">
        <v>0</v>
      </c>
      <c r="I53">
        <v>0.54479147836275599</v>
      </c>
      <c r="J53">
        <v>-0.11543961938235001</v>
      </c>
      <c r="K53">
        <v>-0.23061032529122599</v>
      </c>
    </row>
    <row r="54" spans="1:11" x14ac:dyDescent="0.2">
      <c r="A54" s="3">
        <v>53</v>
      </c>
      <c r="B54" s="3">
        <v>4</v>
      </c>
      <c r="C54" s="3">
        <v>46</v>
      </c>
      <c r="D54" s="3">
        <v>2</v>
      </c>
      <c r="E54" s="3">
        <v>24.54</v>
      </c>
      <c r="F54" s="34">
        <v>291</v>
      </c>
      <c r="G54" s="34">
        <v>750</v>
      </c>
      <c r="H54" s="34">
        <v>1</v>
      </c>
      <c r="I54">
        <v>0.37771546398767802</v>
      </c>
      <c r="J54">
        <v>1.57945425140402</v>
      </c>
      <c r="K54">
        <v>-0.625355862209236</v>
      </c>
    </row>
    <row r="55" spans="1:11" x14ac:dyDescent="0.2">
      <c r="B55" s="3"/>
      <c r="H55" s="3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0DEF-E015-4681-8F68-3EAC73510A06}">
  <dimension ref="A1:O260"/>
  <sheetViews>
    <sheetView workbookViewId="0">
      <pane xSplit="2" topLeftCell="C1" activePane="topRight" state="frozen"/>
      <selection pane="topRight" activeCell="D40" sqref="A1:O82"/>
    </sheetView>
  </sheetViews>
  <sheetFormatPr baseColWidth="10" defaultColWidth="8.83203125" defaultRowHeight="15" x14ac:dyDescent="0.2"/>
  <cols>
    <col min="2" max="2" width="11.83203125" customWidth="1"/>
    <col min="6" max="6" width="17.5" style="2" customWidth="1"/>
    <col min="7" max="7" width="16.83203125" style="2" customWidth="1"/>
    <col min="8" max="9" width="18.1640625" style="2" customWidth="1"/>
    <col min="10" max="10" width="43.1640625" bestFit="1" customWidth="1"/>
    <col min="11" max="11" width="23.1640625" customWidth="1"/>
    <col min="12" max="12" width="22" customWidth="1"/>
    <col min="13" max="13" width="20" customWidth="1"/>
    <col min="14" max="14" width="26.5" style="1" customWidth="1"/>
    <col min="15" max="15" width="35.33203125" style="1" customWidth="1"/>
  </cols>
  <sheetData>
    <row r="1" spans="1:15" s="4" customFormat="1" ht="33" thickBot="1" x14ac:dyDescent="0.25">
      <c r="A1" s="4" t="s">
        <v>135</v>
      </c>
      <c r="B1" s="26" t="s">
        <v>91</v>
      </c>
      <c r="C1" s="27" t="s">
        <v>78</v>
      </c>
      <c r="D1" s="27" t="s">
        <v>79</v>
      </c>
      <c r="E1" s="27" t="s">
        <v>80</v>
      </c>
      <c r="F1" s="28" t="s">
        <v>81</v>
      </c>
      <c r="G1" s="28" t="s">
        <v>82</v>
      </c>
      <c r="H1" s="28" t="s">
        <v>89</v>
      </c>
      <c r="I1" s="28" t="s">
        <v>92</v>
      </c>
      <c r="J1" s="27" t="s">
        <v>83</v>
      </c>
      <c r="K1" s="27" t="s">
        <v>84</v>
      </c>
      <c r="L1" s="27" t="s">
        <v>85</v>
      </c>
      <c r="M1" s="27" t="s">
        <v>86</v>
      </c>
      <c r="N1" s="27" t="s">
        <v>87</v>
      </c>
      <c r="O1" s="27" t="s">
        <v>88</v>
      </c>
    </row>
    <row r="2" spans="1:15" s="3" customFormat="1" ht="16" x14ac:dyDescent="0.2">
      <c r="A2" s="3">
        <v>1</v>
      </c>
      <c r="B2" s="20" t="s">
        <v>52</v>
      </c>
      <c r="C2" s="20">
        <v>55</v>
      </c>
      <c r="D2" s="20">
        <v>1</v>
      </c>
      <c r="E2" s="20">
        <v>30.11</v>
      </c>
      <c r="F2" s="21" t="s">
        <v>50</v>
      </c>
      <c r="G2" s="22">
        <v>0.39583333333333331</v>
      </c>
      <c r="H2" s="23">
        <f>HOUR(G2)*60+MINUTE(G2)</f>
        <v>570</v>
      </c>
      <c r="I2" s="23">
        <v>79.87</v>
      </c>
      <c r="J2" s="24">
        <v>44144</v>
      </c>
      <c r="K2" s="24">
        <v>44246</v>
      </c>
      <c r="L2" s="24">
        <v>44267</v>
      </c>
      <c r="M2" s="24">
        <v>44513</v>
      </c>
      <c r="N2" s="20" t="s">
        <v>49</v>
      </c>
      <c r="O2" s="25" t="s">
        <v>1</v>
      </c>
    </row>
    <row r="3" spans="1:15" s="6" customFormat="1" x14ac:dyDescent="0.2">
      <c r="A3" s="6">
        <v>2</v>
      </c>
      <c r="B3" s="13" t="s">
        <v>93</v>
      </c>
      <c r="C3" s="13"/>
      <c r="D3" s="13"/>
      <c r="E3" s="13"/>
      <c r="F3" s="29">
        <v>44393</v>
      </c>
      <c r="G3" s="14">
        <v>0.39583333333333331</v>
      </c>
      <c r="H3" s="15"/>
      <c r="I3" s="15"/>
      <c r="J3" s="16"/>
      <c r="K3" s="16"/>
      <c r="L3" s="16"/>
      <c r="M3" s="16"/>
      <c r="N3" s="13"/>
      <c r="O3" s="17"/>
    </row>
    <row r="4" spans="1:15" s="6" customFormat="1" x14ac:dyDescent="0.2">
      <c r="A4" s="6">
        <v>3</v>
      </c>
      <c r="B4" s="13" t="s">
        <v>94</v>
      </c>
      <c r="C4" s="13"/>
      <c r="D4" s="13"/>
      <c r="E4" s="13"/>
      <c r="F4" s="29">
        <v>44393</v>
      </c>
      <c r="G4" s="14">
        <v>0.45833333333333331</v>
      </c>
      <c r="H4" s="15"/>
      <c r="I4" s="15"/>
      <c r="J4" s="16"/>
      <c r="K4" s="16"/>
      <c r="L4" s="16"/>
      <c r="M4" s="16"/>
      <c r="N4" s="13"/>
      <c r="O4" s="17"/>
    </row>
    <row r="5" spans="1:15" s="6" customFormat="1" x14ac:dyDescent="0.2">
      <c r="A5" s="6">
        <v>4</v>
      </c>
      <c r="B5" s="13" t="s">
        <v>95</v>
      </c>
      <c r="C5" s="13"/>
      <c r="D5" s="13"/>
      <c r="E5" s="13"/>
      <c r="F5" s="29">
        <v>44393</v>
      </c>
      <c r="G5" s="14">
        <v>0.52083333333333337</v>
      </c>
      <c r="H5" s="15"/>
      <c r="I5" s="15"/>
      <c r="J5" s="16"/>
      <c r="K5" s="16"/>
      <c r="L5" s="16"/>
      <c r="M5" s="16"/>
      <c r="N5" s="13"/>
      <c r="O5" s="17"/>
    </row>
    <row r="6" spans="1:15" s="6" customFormat="1" x14ac:dyDescent="0.2">
      <c r="A6" s="6">
        <v>5</v>
      </c>
      <c r="B6" s="13" t="s">
        <v>96</v>
      </c>
      <c r="C6" s="13"/>
      <c r="D6" s="13"/>
      <c r="E6" s="13"/>
      <c r="F6" s="30" t="s">
        <v>121</v>
      </c>
      <c r="G6" s="14">
        <v>0.36458333333333331</v>
      </c>
      <c r="H6" s="15"/>
      <c r="I6" s="15"/>
      <c r="J6" s="16"/>
      <c r="K6" s="16"/>
      <c r="L6" s="16"/>
      <c r="M6" s="16"/>
      <c r="N6" s="13"/>
      <c r="O6" s="17"/>
    </row>
    <row r="7" spans="1:15" s="6" customFormat="1" x14ac:dyDescent="0.2">
      <c r="A7" s="6">
        <v>6</v>
      </c>
      <c r="B7" s="13" t="s">
        <v>97</v>
      </c>
      <c r="C7" s="13"/>
      <c r="D7" s="13"/>
      <c r="E7" s="13"/>
      <c r="F7" s="30" t="s">
        <v>121</v>
      </c>
      <c r="G7" s="14">
        <v>0.47916666666666669</v>
      </c>
      <c r="H7" s="15"/>
      <c r="I7" s="15"/>
      <c r="J7" s="16"/>
      <c r="K7" s="16"/>
      <c r="L7" s="16"/>
      <c r="M7" s="16"/>
      <c r="N7" s="13"/>
      <c r="O7" s="17"/>
    </row>
    <row r="8" spans="1:15" s="6" customFormat="1" x14ac:dyDescent="0.2">
      <c r="A8" s="6">
        <v>7</v>
      </c>
      <c r="B8" s="13" t="s">
        <v>98</v>
      </c>
      <c r="C8" s="13"/>
      <c r="D8" s="13"/>
      <c r="E8" s="13"/>
      <c r="F8" s="30" t="s">
        <v>121</v>
      </c>
      <c r="G8" s="14">
        <v>0.47916666666666669</v>
      </c>
      <c r="H8" s="15"/>
      <c r="I8" s="15"/>
      <c r="J8" s="16"/>
      <c r="K8" s="16"/>
      <c r="L8" s="16"/>
      <c r="M8" s="16"/>
      <c r="N8" s="13"/>
      <c r="O8" s="17"/>
    </row>
    <row r="9" spans="1:15" s="3" customFormat="1" ht="32" x14ac:dyDescent="0.2">
      <c r="A9" s="3">
        <v>8</v>
      </c>
      <c r="B9" s="7" t="s">
        <v>53</v>
      </c>
      <c r="C9" s="7">
        <v>64</v>
      </c>
      <c r="D9" s="7">
        <v>2</v>
      </c>
      <c r="E9" s="7">
        <v>28.94</v>
      </c>
      <c r="F9" s="9" t="s">
        <v>51</v>
      </c>
      <c r="G9" s="10">
        <v>0.36458333333333331</v>
      </c>
      <c r="H9" s="11">
        <f t="shared" ref="H9:H55" si="0">HOUR(G9)*60+MINUTE(G9)</f>
        <v>525</v>
      </c>
      <c r="I9" s="11">
        <v>47.37</v>
      </c>
      <c r="J9" s="12">
        <v>44029</v>
      </c>
      <c r="K9" s="12">
        <v>44211</v>
      </c>
      <c r="L9" s="12">
        <v>44239</v>
      </c>
      <c r="M9" s="7" t="s">
        <v>90</v>
      </c>
      <c r="N9" s="8" t="s">
        <v>2</v>
      </c>
      <c r="O9" s="8" t="s">
        <v>3</v>
      </c>
    </row>
    <row r="10" spans="1:15" s="3" customFormat="1" ht="48" x14ac:dyDescent="0.2">
      <c r="A10" s="3">
        <v>9</v>
      </c>
      <c r="B10" s="7" t="s">
        <v>54</v>
      </c>
      <c r="C10" s="7">
        <v>77</v>
      </c>
      <c r="D10" s="7">
        <v>1</v>
      </c>
      <c r="E10" s="7">
        <v>31.39</v>
      </c>
      <c r="F10" s="18">
        <v>44407</v>
      </c>
      <c r="G10" s="10">
        <v>0.45833333333333331</v>
      </c>
      <c r="H10" s="11">
        <f t="shared" si="0"/>
        <v>660</v>
      </c>
      <c r="I10" s="11">
        <v>64.8</v>
      </c>
      <c r="J10" s="12">
        <v>44307</v>
      </c>
      <c r="K10" s="12">
        <v>44259</v>
      </c>
      <c r="L10" s="12">
        <v>44280</v>
      </c>
      <c r="M10" s="7" t="s">
        <v>90</v>
      </c>
      <c r="N10" s="8" t="s">
        <v>45</v>
      </c>
      <c r="O10" s="8" t="s">
        <v>46</v>
      </c>
    </row>
    <row r="11" spans="1:15" s="6" customFormat="1" x14ac:dyDescent="0.2">
      <c r="A11" s="6">
        <v>10</v>
      </c>
      <c r="B11" s="13" t="s">
        <v>99</v>
      </c>
      <c r="C11" s="13"/>
      <c r="D11" s="13"/>
      <c r="E11" s="13"/>
      <c r="F11" s="16">
        <v>44432</v>
      </c>
      <c r="G11" s="14">
        <v>0.35416666666666669</v>
      </c>
      <c r="H11" s="15"/>
      <c r="I11" s="15"/>
      <c r="J11" s="16"/>
      <c r="K11" s="16"/>
      <c r="L11" s="16"/>
      <c r="M11" s="13"/>
      <c r="N11" s="17"/>
      <c r="O11" s="17"/>
    </row>
    <row r="12" spans="1:15" s="3" customFormat="1" ht="48" x14ac:dyDescent="0.2">
      <c r="A12" s="3">
        <v>11</v>
      </c>
      <c r="B12" s="7" t="s">
        <v>55</v>
      </c>
      <c r="C12" s="7">
        <v>56</v>
      </c>
      <c r="D12" s="7">
        <v>1</v>
      </c>
      <c r="E12" s="7">
        <v>24.04</v>
      </c>
      <c r="F12" s="18">
        <v>44432</v>
      </c>
      <c r="G12" s="10">
        <v>0.38541666666666669</v>
      </c>
      <c r="H12" s="11">
        <f t="shared" si="0"/>
        <v>555</v>
      </c>
      <c r="I12" s="11">
        <v>68.78</v>
      </c>
      <c r="J12" s="12">
        <v>44270</v>
      </c>
      <c r="K12" s="12">
        <v>44264</v>
      </c>
      <c r="L12" s="12">
        <v>44321</v>
      </c>
      <c r="M12" s="7" t="s">
        <v>90</v>
      </c>
      <c r="N12" s="8" t="s">
        <v>4</v>
      </c>
      <c r="O12" s="8"/>
    </row>
    <row r="13" spans="1:15" s="6" customFormat="1" x14ac:dyDescent="0.2">
      <c r="A13" s="6">
        <v>12</v>
      </c>
      <c r="B13" s="13" t="s">
        <v>100</v>
      </c>
      <c r="C13" s="13"/>
      <c r="D13" s="13"/>
      <c r="E13" s="13"/>
      <c r="F13" s="16">
        <v>44432</v>
      </c>
      <c r="G13" s="14">
        <v>0.42708333333333331</v>
      </c>
      <c r="H13" s="15"/>
      <c r="I13" s="15"/>
      <c r="J13" s="16"/>
      <c r="K13" s="16"/>
      <c r="L13" s="16"/>
      <c r="M13" s="13"/>
      <c r="N13" s="17"/>
      <c r="O13" s="17"/>
    </row>
    <row r="14" spans="1:15" s="6" customFormat="1" x14ac:dyDescent="0.2">
      <c r="A14" s="6">
        <v>13</v>
      </c>
      <c r="B14" s="13" t="s">
        <v>101</v>
      </c>
      <c r="C14" s="13"/>
      <c r="D14" s="13"/>
      <c r="E14" s="13"/>
      <c r="F14" s="16">
        <v>44432</v>
      </c>
      <c r="G14" s="14">
        <v>0.45833333333333331</v>
      </c>
      <c r="H14" s="15"/>
      <c r="I14" s="15"/>
      <c r="J14" s="16"/>
      <c r="K14" s="16"/>
      <c r="L14" s="16"/>
      <c r="M14" s="13"/>
      <c r="N14" s="17"/>
      <c r="O14" s="17"/>
    </row>
    <row r="15" spans="1:15" s="6" customFormat="1" x14ac:dyDescent="0.2">
      <c r="A15" s="6">
        <v>14</v>
      </c>
      <c r="B15" s="13" t="s">
        <v>102</v>
      </c>
      <c r="C15" s="13"/>
      <c r="D15" s="13"/>
      <c r="E15" s="13"/>
      <c r="F15" s="16">
        <v>44432</v>
      </c>
      <c r="G15" s="14">
        <v>0.45833333333333331</v>
      </c>
      <c r="H15" s="15"/>
      <c r="I15" s="15"/>
      <c r="J15" s="16"/>
      <c r="K15" s="16"/>
      <c r="L15" s="16"/>
      <c r="M15" s="13"/>
      <c r="N15" s="17"/>
      <c r="O15" s="17"/>
    </row>
    <row r="16" spans="1:15" s="3" customFormat="1" ht="112" x14ac:dyDescent="0.2">
      <c r="A16" s="3">
        <v>15</v>
      </c>
      <c r="B16" s="7" t="s">
        <v>56</v>
      </c>
      <c r="C16" s="7">
        <v>63</v>
      </c>
      <c r="D16" s="7">
        <v>2</v>
      </c>
      <c r="E16" s="7">
        <v>42.82</v>
      </c>
      <c r="F16" s="18">
        <v>44435</v>
      </c>
      <c r="G16" s="10">
        <v>0.44791666666666669</v>
      </c>
      <c r="H16" s="11">
        <f t="shared" si="0"/>
        <v>645</v>
      </c>
      <c r="I16" s="11">
        <v>52.61</v>
      </c>
      <c r="J16" s="12">
        <v>44173</v>
      </c>
      <c r="K16" s="12">
        <v>44267</v>
      </c>
      <c r="L16" s="12">
        <v>44294</v>
      </c>
      <c r="M16" s="7" t="s">
        <v>90</v>
      </c>
      <c r="N16" s="8" t="s">
        <v>5</v>
      </c>
      <c r="O16" s="8"/>
    </row>
    <row r="17" spans="1:15" s="3" customFormat="1" ht="112" x14ac:dyDescent="0.2">
      <c r="A17" s="3">
        <v>16</v>
      </c>
      <c r="B17" s="7" t="s">
        <v>57</v>
      </c>
      <c r="C17" s="7">
        <v>48</v>
      </c>
      <c r="D17" s="7">
        <v>2</v>
      </c>
      <c r="E17" s="7">
        <v>33.869999999999997</v>
      </c>
      <c r="F17" s="18">
        <v>44435</v>
      </c>
      <c r="G17" s="10">
        <v>0.5</v>
      </c>
      <c r="H17" s="11">
        <f t="shared" si="0"/>
        <v>720</v>
      </c>
      <c r="I17" s="11">
        <v>63.26</v>
      </c>
      <c r="J17" s="12">
        <v>43913</v>
      </c>
      <c r="K17" s="12">
        <v>44519</v>
      </c>
      <c r="L17" s="7"/>
      <c r="M17" s="7" t="s">
        <v>90</v>
      </c>
      <c r="N17" s="8" t="s">
        <v>6</v>
      </c>
      <c r="O17" s="8" t="s">
        <v>7</v>
      </c>
    </row>
    <row r="18" spans="1:15" s="3" customFormat="1" ht="112" x14ac:dyDescent="0.2">
      <c r="A18" s="3">
        <v>17</v>
      </c>
      <c r="B18" s="7" t="s">
        <v>58</v>
      </c>
      <c r="C18" s="7">
        <v>50</v>
      </c>
      <c r="D18" s="7">
        <v>2</v>
      </c>
      <c r="E18" s="7">
        <v>28.02</v>
      </c>
      <c r="F18" s="18">
        <v>44435</v>
      </c>
      <c r="G18" s="10">
        <v>0.46875</v>
      </c>
      <c r="H18" s="11">
        <f t="shared" si="0"/>
        <v>675</v>
      </c>
      <c r="I18" s="11">
        <v>70.03</v>
      </c>
      <c r="J18" s="12">
        <v>44306</v>
      </c>
      <c r="K18" s="12">
        <v>44296</v>
      </c>
      <c r="L18" s="12">
        <v>44324</v>
      </c>
      <c r="M18" s="7" t="s">
        <v>90</v>
      </c>
      <c r="N18" s="8" t="s">
        <v>8</v>
      </c>
      <c r="O18" s="8" t="s">
        <v>0</v>
      </c>
    </row>
    <row r="19" spans="1:15" s="3" customFormat="1" ht="64" x14ac:dyDescent="0.2">
      <c r="A19" s="3">
        <v>18</v>
      </c>
      <c r="B19" s="7" t="s">
        <v>59</v>
      </c>
      <c r="C19" s="7">
        <v>37</v>
      </c>
      <c r="D19" s="7">
        <v>1</v>
      </c>
      <c r="E19" s="7">
        <v>23.34</v>
      </c>
      <c r="F19" s="18">
        <v>44435</v>
      </c>
      <c r="G19" s="10">
        <v>0.5</v>
      </c>
      <c r="H19" s="11">
        <f t="shared" si="0"/>
        <v>720</v>
      </c>
      <c r="I19" s="11">
        <v>142.22</v>
      </c>
      <c r="J19" s="12">
        <v>44270</v>
      </c>
      <c r="K19" s="12">
        <v>44359</v>
      </c>
      <c r="L19" s="7" t="s">
        <v>90</v>
      </c>
      <c r="M19" s="7" t="s">
        <v>90</v>
      </c>
      <c r="N19" s="8" t="s">
        <v>9</v>
      </c>
      <c r="O19" s="8" t="s">
        <v>10</v>
      </c>
    </row>
    <row r="20" spans="1:15" s="3" customFormat="1" ht="16" x14ac:dyDescent="0.2">
      <c r="A20" s="3">
        <v>19</v>
      </c>
      <c r="B20" s="7" t="s">
        <v>60</v>
      </c>
      <c r="C20" s="7">
        <v>57</v>
      </c>
      <c r="D20" s="7">
        <v>1</v>
      </c>
      <c r="E20" s="7">
        <v>30.02</v>
      </c>
      <c r="F20" s="18">
        <v>44435</v>
      </c>
      <c r="G20" s="10">
        <v>0.46875</v>
      </c>
      <c r="H20" s="11">
        <f t="shared" si="0"/>
        <v>675</v>
      </c>
      <c r="I20" s="11">
        <v>39.119999999999997</v>
      </c>
      <c r="J20" s="12">
        <v>44228</v>
      </c>
      <c r="K20" s="12">
        <v>44291</v>
      </c>
      <c r="L20" s="12">
        <v>44312</v>
      </c>
      <c r="M20" s="7" t="s">
        <v>90</v>
      </c>
      <c r="N20" s="8" t="s">
        <v>11</v>
      </c>
      <c r="O20" s="8" t="s">
        <v>12</v>
      </c>
    </row>
    <row r="21" spans="1:15" s="3" customFormat="1" ht="64" x14ac:dyDescent="0.2">
      <c r="A21" s="3">
        <v>20</v>
      </c>
      <c r="B21" s="7" t="s">
        <v>61</v>
      </c>
      <c r="C21" s="7">
        <v>70</v>
      </c>
      <c r="D21" s="7">
        <v>2</v>
      </c>
      <c r="E21" s="7">
        <v>30.4</v>
      </c>
      <c r="F21" s="18">
        <v>44435</v>
      </c>
      <c r="G21" s="10">
        <v>0.53125</v>
      </c>
      <c r="H21" s="11">
        <f t="shared" si="0"/>
        <v>765</v>
      </c>
      <c r="I21" s="11">
        <v>36.340000000000003</v>
      </c>
      <c r="J21" s="12">
        <v>44204</v>
      </c>
      <c r="K21" s="12">
        <v>44201</v>
      </c>
      <c r="L21" s="12">
        <v>44257</v>
      </c>
      <c r="M21" s="12">
        <v>44453</v>
      </c>
      <c r="N21" s="8" t="s">
        <v>13</v>
      </c>
      <c r="O21" s="8" t="s">
        <v>14</v>
      </c>
    </row>
    <row r="22" spans="1:15" s="6" customFormat="1" x14ac:dyDescent="0.2">
      <c r="A22" s="6">
        <v>21</v>
      </c>
      <c r="B22" s="13" t="s">
        <v>103</v>
      </c>
      <c r="C22" s="13"/>
      <c r="D22" s="13"/>
      <c r="E22" s="13"/>
      <c r="F22" s="31">
        <v>44438</v>
      </c>
      <c r="G22" s="14">
        <v>0.35416666666666669</v>
      </c>
      <c r="H22" s="15"/>
      <c r="I22" s="15"/>
      <c r="J22" s="16"/>
      <c r="K22" s="16"/>
      <c r="L22" s="16"/>
      <c r="M22" s="16"/>
      <c r="N22" s="17"/>
      <c r="O22" s="17"/>
    </row>
    <row r="23" spans="1:15" s="6" customFormat="1" x14ac:dyDescent="0.2">
      <c r="A23" s="6">
        <v>22</v>
      </c>
      <c r="B23" s="13" t="s">
        <v>104</v>
      </c>
      <c r="C23" s="13"/>
      <c r="D23" s="13"/>
      <c r="E23" s="13"/>
      <c r="F23" s="31">
        <v>44438</v>
      </c>
      <c r="G23" s="14">
        <v>0.47916666666666669</v>
      </c>
      <c r="H23" s="15"/>
      <c r="I23" s="15"/>
      <c r="J23" s="16"/>
      <c r="K23" s="16"/>
      <c r="L23" s="16"/>
      <c r="M23" s="16"/>
      <c r="N23" s="17"/>
      <c r="O23" s="17"/>
    </row>
    <row r="24" spans="1:15" s="6" customFormat="1" x14ac:dyDescent="0.2">
      <c r="A24" s="6">
        <v>23</v>
      </c>
      <c r="B24" s="13" t="s">
        <v>105</v>
      </c>
      <c r="C24" s="13"/>
      <c r="D24" s="13"/>
      <c r="E24" s="13"/>
      <c r="F24" s="31">
        <v>44439</v>
      </c>
      <c r="G24" s="14">
        <v>0.42708333333333331</v>
      </c>
      <c r="H24" s="15"/>
      <c r="I24" s="15"/>
      <c r="J24" s="16"/>
      <c r="K24" s="16"/>
      <c r="L24" s="16"/>
      <c r="M24" s="16"/>
      <c r="N24" s="17"/>
      <c r="O24" s="17"/>
    </row>
    <row r="25" spans="1:15" s="6" customFormat="1" x14ac:dyDescent="0.2">
      <c r="A25" s="6">
        <v>24</v>
      </c>
      <c r="B25" s="13" t="s">
        <v>106</v>
      </c>
      <c r="C25" s="13"/>
      <c r="D25" s="13"/>
      <c r="E25" s="13"/>
      <c r="F25" s="31">
        <v>44439</v>
      </c>
      <c r="G25" s="14">
        <v>0.45833333333333331</v>
      </c>
      <c r="H25" s="15"/>
      <c r="I25" s="15"/>
      <c r="J25" s="16"/>
      <c r="K25" s="16"/>
      <c r="L25" s="16"/>
      <c r="M25" s="16"/>
      <c r="N25" s="17"/>
      <c r="O25" s="17"/>
    </row>
    <row r="26" spans="1:15" s="6" customFormat="1" x14ac:dyDescent="0.2">
      <c r="A26" s="6">
        <v>25</v>
      </c>
      <c r="B26" s="13" t="s">
        <v>107</v>
      </c>
      <c r="C26" s="13"/>
      <c r="D26" s="13"/>
      <c r="E26" s="13"/>
      <c r="F26" s="31">
        <v>44442</v>
      </c>
      <c r="G26" s="14">
        <v>0.36458333333333331</v>
      </c>
      <c r="H26" s="15"/>
      <c r="I26" s="15"/>
      <c r="J26" s="16"/>
      <c r="K26" s="16"/>
      <c r="L26" s="16"/>
      <c r="M26" s="16"/>
      <c r="N26" s="17"/>
      <c r="O26" s="17"/>
    </row>
    <row r="27" spans="1:15" s="6" customFormat="1" x14ac:dyDescent="0.2">
      <c r="A27" s="6">
        <v>26</v>
      </c>
      <c r="B27" s="13" t="s">
        <v>108</v>
      </c>
      <c r="C27" s="13"/>
      <c r="D27" s="13"/>
      <c r="E27" s="13"/>
      <c r="F27" s="31">
        <v>44442</v>
      </c>
      <c r="G27" s="14">
        <v>0.375</v>
      </c>
      <c r="H27" s="15"/>
      <c r="I27" s="15"/>
      <c r="J27" s="16"/>
      <c r="K27" s="16"/>
      <c r="L27" s="16"/>
      <c r="M27" s="16"/>
      <c r="N27" s="17"/>
      <c r="O27" s="17"/>
    </row>
    <row r="28" spans="1:15" s="6" customFormat="1" x14ac:dyDescent="0.2">
      <c r="A28" s="6">
        <v>27</v>
      </c>
      <c r="B28" s="13" t="s">
        <v>109</v>
      </c>
      <c r="C28" s="13"/>
      <c r="D28" s="13"/>
      <c r="E28" s="13"/>
      <c r="F28" s="31">
        <v>44442</v>
      </c>
      <c r="G28" s="14">
        <v>0.41666666666666669</v>
      </c>
      <c r="H28" s="15"/>
      <c r="I28" s="15"/>
      <c r="J28" s="16"/>
      <c r="K28" s="16"/>
      <c r="L28" s="16"/>
      <c r="M28" s="16"/>
      <c r="N28" s="17"/>
      <c r="O28" s="17"/>
    </row>
    <row r="29" spans="1:15" s="6" customFormat="1" x14ac:dyDescent="0.2">
      <c r="A29" s="6">
        <v>28</v>
      </c>
      <c r="B29" s="13" t="s">
        <v>110</v>
      </c>
      <c r="C29" s="13"/>
      <c r="D29" s="13"/>
      <c r="E29" s="13"/>
      <c r="F29" s="31">
        <v>44442</v>
      </c>
      <c r="G29" s="14">
        <v>0.42708333333333331</v>
      </c>
      <c r="H29" s="15"/>
      <c r="I29" s="15"/>
      <c r="J29" s="16"/>
      <c r="K29" s="16"/>
      <c r="L29" s="16"/>
      <c r="M29" s="16"/>
      <c r="N29" s="17"/>
      <c r="O29" s="17"/>
    </row>
    <row r="30" spans="1:15" s="6" customFormat="1" x14ac:dyDescent="0.2">
      <c r="A30" s="6">
        <v>29</v>
      </c>
      <c r="B30" s="13" t="s">
        <v>111</v>
      </c>
      <c r="C30" s="13"/>
      <c r="D30" s="13"/>
      <c r="E30" s="13"/>
      <c r="F30" s="31">
        <v>44442</v>
      </c>
      <c r="G30" s="14">
        <v>0.41666666666666669</v>
      </c>
      <c r="H30" s="15"/>
      <c r="I30" s="15"/>
      <c r="J30" s="16"/>
      <c r="K30" s="16"/>
      <c r="L30" s="16"/>
      <c r="M30" s="16"/>
      <c r="N30" s="17"/>
      <c r="O30" s="17"/>
    </row>
    <row r="31" spans="1:15" s="6" customFormat="1" x14ac:dyDescent="0.2">
      <c r="A31" s="6">
        <v>30</v>
      </c>
      <c r="B31" s="13" t="s">
        <v>112</v>
      </c>
      <c r="C31" s="13"/>
      <c r="D31" s="13"/>
      <c r="E31" s="13"/>
      <c r="F31" s="31">
        <v>44442</v>
      </c>
      <c r="G31" s="14">
        <v>0.45833333333333331</v>
      </c>
      <c r="H31" s="15"/>
      <c r="I31" s="15"/>
      <c r="J31" s="16"/>
      <c r="K31" s="16"/>
      <c r="L31" s="16"/>
      <c r="M31" s="16"/>
      <c r="N31" s="17"/>
      <c r="O31" s="17"/>
    </row>
    <row r="32" spans="1:15" s="6" customFormat="1" x14ac:dyDescent="0.2">
      <c r="A32" s="6">
        <v>31</v>
      </c>
      <c r="B32" s="13" t="s">
        <v>113</v>
      </c>
      <c r="C32" s="13"/>
      <c r="D32" s="13"/>
      <c r="E32" s="13"/>
      <c r="F32" s="31">
        <v>44446</v>
      </c>
      <c r="G32" s="14">
        <v>0.45833333333333331</v>
      </c>
      <c r="H32" s="15"/>
      <c r="I32" s="15"/>
      <c r="J32" s="16"/>
      <c r="K32" s="16"/>
      <c r="L32" s="16"/>
      <c r="M32" s="16"/>
      <c r="N32" s="17"/>
      <c r="O32" s="17"/>
    </row>
    <row r="33" spans="1:15" s="6" customFormat="1" x14ac:dyDescent="0.2">
      <c r="A33" s="6">
        <v>32</v>
      </c>
      <c r="B33" s="13" t="s">
        <v>114</v>
      </c>
      <c r="C33" s="13"/>
      <c r="D33" s="13"/>
      <c r="E33" s="13"/>
      <c r="F33" s="31">
        <v>44452</v>
      </c>
      <c r="G33" s="14">
        <v>0.42708333333333331</v>
      </c>
      <c r="H33" s="15"/>
      <c r="I33" s="15"/>
      <c r="J33" s="16"/>
      <c r="K33" s="16"/>
      <c r="L33" s="16"/>
      <c r="M33" s="16"/>
      <c r="N33" s="17"/>
      <c r="O33" s="17"/>
    </row>
    <row r="34" spans="1:15" s="6" customFormat="1" x14ac:dyDescent="0.2">
      <c r="A34" s="6">
        <v>33</v>
      </c>
      <c r="B34" s="13" t="s">
        <v>115</v>
      </c>
      <c r="C34" s="13"/>
      <c r="D34" s="13"/>
      <c r="E34" s="13"/>
      <c r="F34" s="31">
        <v>44452</v>
      </c>
      <c r="G34" s="14">
        <v>0.35416666666666669</v>
      </c>
      <c r="H34" s="15"/>
      <c r="I34" s="15"/>
      <c r="J34" s="16"/>
      <c r="K34" s="16"/>
      <c r="L34" s="16"/>
      <c r="M34" s="16"/>
      <c r="N34" s="17"/>
      <c r="O34" s="17"/>
    </row>
    <row r="35" spans="1:15" s="6" customFormat="1" x14ac:dyDescent="0.2">
      <c r="A35" s="6">
        <v>34</v>
      </c>
      <c r="B35" s="13" t="s">
        <v>116</v>
      </c>
      <c r="C35" s="13"/>
      <c r="D35" s="13"/>
      <c r="E35" s="13"/>
      <c r="F35" s="31">
        <v>44452</v>
      </c>
      <c r="G35" s="14">
        <v>0.5</v>
      </c>
      <c r="H35" s="15"/>
      <c r="I35" s="15"/>
      <c r="J35" s="16"/>
      <c r="K35" s="16"/>
      <c r="L35" s="16"/>
      <c r="M35" s="16"/>
      <c r="N35" s="17"/>
      <c r="O35" s="17"/>
    </row>
    <row r="36" spans="1:15" s="6" customFormat="1" x14ac:dyDescent="0.2">
      <c r="A36" s="6">
        <v>35</v>
      </c>
      <c r="B36" s="13" t="s">
        <v>117</v>
      </c>
      <c r="C36" s="13"/>
      <c r="D36" s="13"/>
      <c r="E36" s="13"/>
      <c r="F36" s="31">
        <v>44453</v>
      </c>
      <c r="G36" s="14">
        <v>0.33333333333333331</v>
      </c>
      <c r="H36" s="15"/>
      <c r="I36" s="15"/>
      <c r="J36" s="16"/>
      <c r="K36" s="16"/>
      <c r="L36" s="16"/>
      <c r="M36" s="16"/>
      <c r="N36" s="17"/>
      <c r="O36" s="17"/>
    </row>
    <row r="37" spans="1:15" s="6" customFormat="1" x14ac:dyDescent="0.2">
      <c r="A37" s="6">
        <v>36</v>
      </c>
      <c r="B37" s="13" t="s">
        <v>118</v>
      </c>
      <c r="C37" s="13"/>
      <c r="D37" s="13"/>
      <c r="E37" s="13"/>
      <c r="F37" s="31">
        <v>44453</v>
      </c>
      <c r="G37" s="14">
        <v>0.45833333333333331</v>
      </c>
      <c r="H37" s="15"/>
      <c r="I37" s="15"/>
      <c r="J37" s="16"/>
      <c r="K37" s="16"/>
      <c r="L37" s="16"/>
      <c r="M37" s="16"/>
      <c r="N37" s="17"/>
      <c r="O37" s="17"/>
    </row>
    <row r="38" spans="1:15" s="3" customFormat="1" ht="32" x14ac:dyDescent="0.2">
      <c r="A38" s="3">
        <v>37</v>
      </c>
      <c r="B38" s="7" t="s">
        <v>62</v>
      </c>
      <c r="C38" s="7">
        <v>43</v>
      </c>
      <c r="D38" s="7">
        <v>2</v>
      </c>
      <c r="E38" s="7">
        <v>28.75</v>
      </c>
      <c r="F38" s="18">
        <v>44456</v>
      </c>
      <c r="G38" s="10">
        <v>0.51041666666666663</v>
      </c>
      <c r="H38" s="11">
        <f t="shared" si="0"/>
        <v>735</v>
      </c>
      <c r="I38" s="11">
        <v>67.87</v>
      </c>
      <c r="J38" s="12">
        <v>44297</v>
      </c>
      <c r="K38" s="12">
        <v>44426</v>
      </c>
      <c r="L38" s="7" t="s">
        <v>90</v>
      </c>
      <c r="M38" s="7" t="s">
        <v>90</v>
      </c>
      <c r="N38" s="8" t="s">
        <v>15</v>
      </c>
      <c r="O38" s="8" t="s">
        <v>16</v>
      </c>
    </row>
    <row r="39" spans="1:15" s="3" customFormat="1" ht="128" x14ac:dyDescent="0.2">
      <c r="A39" s="3">
        <v>38</v>
      </c>
      <c r="B39" s="7" t="s">
        <v>63</v>
      </c>
      <c r="C39" s="7">
        <v>54</v>
      </c>
      <c r="D39" s="7">
        <v>2</v>
      </c>
      <c r="E39" s="7">
        <v>24.13</v>
      </c>
      <c r="F39" s="18">
        <v>44456</v>
      </c>
      <c r="G39" s="10">
        <v>0.42708333333333331</v>
      </c>
      <c r="H39" s="11">
        <f t="shared" si="0"/>
        <v>615</v>
      </c>
      <c r="I39" s="11">
        <v>56.75</v>
      </c>
      <c r="J39" s="12">
        <v>44533</v>
      </c>
      <c r="K39" s="12">
        <v>44307</v>
      </c>
      <c r="L39" s="12">
        <v>44328</v>
      </c>
      <c r="M39" s="7" t="s">
        <v>90</v>
      </c>
      <c r="N39" s="8" t="s">
        <v>17</v>
      </c>
      <c r="O39" s="8" t="s">
        <v>18</v>
      </c>
    </row>
    <row r="40" spans="1:15" s="3" customFormat="1" ht="48" x14ac:dyDescent="0.2">
      <c r="A40" s="3">
        <v>39</v>
      </c>
      <c r="B40" s="7" t="s">
        <v>64</v>
      </c>
      <c r="C40" s="7">
        <v>54</v>
      </c>
      <c r="D40" s="7">
        <v>2</v>
      </c>
      <c r="E40" s="7">
        <v>39.159999999999997</v>
      </c>
      <c r="F40" s="18">
        <v>44456</v>
      </c>
      <c r="G40" s="10">
        <v>0.41666666666666669</v>
      </c>
      <c r="H40" s="11">
        <f t="shared" si="0"/>
        <v>600</v>
      </c>
      <c r="I40" s="11">
        <v>83.17</v>
      </c>
      <c r="J40" s="12">
        <v>43952</v>
      </c>
      <c r="K40" s="12">
        <v>44204</v>
      </c>
      <c r="L40" s="12">
        <v>44231</v>
      </c>
      <c r="M40" s="12">
        <v>44498</v>
      </c>
      <c r="N40" s="8" t="s">
        <v>19</v>
      </c>
      <c r="O40" s="8" t="s">
        <v>20</v>
      </c>
    </row>
    <row r="41" spans="1:15" s="3" customFormat="1" ht="80" x14ac:dyDescent="0.2">
      <c r="A41" s="3">
        <v>40</v>
      </c>
      <c r="B41" s="7" t="s">
        <v>65</v>
      </c>
      <c r="C41" s="7">
        <v>31</v>
      </c>
      <c r="D41" s="7">
        <v>1</v>
      </c>
      <c r="E41" s="7" t="s">
        <v>90</v>
      </c>
      <c r="F41" s="18">
        <v>44456</v>
      </c>
      <c r="G41" s="10">
        <v>0.5</v>
      </c>
      <c r="H41" s="11">
        <f t="shared" si="0"/>
        <v>720</v>
      </c>
      <c r="I41" s="11">
        <v>61.35</v>
      </c>
      <c r="J41" s="12">
        <v>44125</v>
      </c>
      <c r="K41" s="7" t="s">
        <v>90</v>
      </c>
      <c r="L41" s="7" t="s">
        <v>90</v>
      </c>
      <c r="M41" s="7" t="s">
        <v>90</v>
      </c>
      <c r="N41" s="8" t="s">
        <v>21</v>
      </c>
      <c r="O41" s="8" t="s">
        <v>22</v>
      </c>
    </row>
    <row r="42" spans="1:15" s="3" customFormat="1" ht="32" x14ac:dyDescent="0.2">
      <c r="A42" s="3">
        <v>41</v>
      </c>
      <c r="B42" s="7" t="s">
        <v>66</v>
      </c>
      <c r="C42" s="7">
        <v>84</v>
      </c>
      <c r="D42" s="7">
        <v>1</v>
      </c>
      <c r="E42" s="7">
        <v>22.94</v>
      </c>
      <c r="F42" s="18">
        <v>44459</v>
      </c>
      <c r="G42" s="10">
        <v>0.45833333333333331</v>
      </c>
      <c r="H42" s="11">
        <f t="shared" si="0"/>
        <v>660</v>
      </c>
      <c r="I42" s="11">
        <v>75.31</v>
      </c>
      <c r="J42" s="12">
        <v>44198</v>
      </c>
      <c r="K42" s="12">
        <v>44212</v>
      </c>
      <c r="L42" s="12">
        <v>44233</v>
      </c>
      <c r="M42" s="7" t="s">
        <v>90</v>
      </c>
      <c r="N42" s="8" t="s">
        <v>23</v>
      </c>
      <c r="O42" s="8" t="s">
        <v>24</v>
      </c>
    </row>
    <row r="43" spans="1:15" s="3" customFormat="1" ht="112" x14ac:dyDescent="0.2">
      <c r="A43" s="3">
        <v>42</v>
      </c>
      <c r="B43" s="7" t="s">
        <v>67</v>
      </c>
      <c r="C43" s="7">
        <v>64</v>
      </c>
      <c r="D43" s="7">
        <v>2</v>
      </c>
      <c r="E43" s="7">
        <v>23.67</v>
      </c>
      <c r="F43" s="18">
        <v>44460</v>
      </c>
      <c r="G43" s="10">
        <v>0.48958333333333331</v>
      </c>
      <c r="H43" s="11">
        <f t="shared" si="0"/>
        <v>705</v>
      </c>
      <c r="I43" s="11">
        <v>58.94</v>
      </c>
      <c r="J43" s="12">
        <v>44272</v>
      </c>
      <c r="K43" s="12">
        <v>44280</v>
      </c>
      <c r="L43" s="12">
        <v>44301</v>
      </c>
      <c r="M43" s="7" t="s">
        <v>90</v>
      </c>
      <c r="N43" s="8" t="s">
        <v>25</v>
      </c>
      <c r="O43" s="8" t="s">
        <v>26</v>
      </c>
    </row>
    <row r="44" spans="1:15" s="3" customFormat="1" ht="32" x14ac:dyDescent="0.2">
      <c r="A44" s="3">
        <v>43</v>
      </c>
      <c r="B44" s="7" t="s">
        <v>68</v>
      </c>
      <c r="C44" s="7">
        <v>22</v>
      </c>
      <c r="D44" s="7">
        <v>2</v>
      </c>
      <c r="E44" s="7">
        <v>26.39</v>
      </c>
      <c r="F44" s="18">
        <v>44463</v>
      </c>
      <c r="G44" s="10">
        <v>0.41666666666666669</v>
      </c>
      <c r="H44" s="11">
        <f t="shared" si="0"/>
        <v>600</v>
      </c>
      <c r="I44" s="11">
        <v>52.61</v>
      </c>
      <c r="J44" s="12">
        <v>44144</v>
      </c>
      <c r="K44" s="12">
        <v>44218</v>
      </c>
      <c r="L44" s="12">
        <v>44239</v>
      </c>
      <c r="M44" s="12">
        <v>44482</v>
      </c>
      <c r="N44" s="8" t="s">
        <v>27</v>
      </c>
      <c r="O44" s="8" t="s">
        <v>28</v>
      </c>
    </row>
    <row r="45" spans="1:15" s="6" customFormat="1" x14ac:dyDescent="0.2">
      <c r="A45" s="6">
        <v>44</v>
      </c>
      <c r="B45" s="13" t="s">
        <v>119</v>
      </c>
      <c r="C45" s="13"/>
      <c r="D45" s="13"/>
      <c r="E45" s="13"/>
      <c r="F45" s="16">
        <v>44466</v>
      </c>
      <c r="G45" s="14">
        <v>0.33333333333333331</v>
      </c>
      <c r="H45" s="15">
        <f t="shared" si="0"/>
        <v>480</v>
      </c>
      <c r="I45" s="15"/>
      <c r="J45" s="16"/>
      <c r="K45" s="16"/>
      <c r="L45" s="16"/>
      <c r="M45" s="16"/>
      <c r="N45" s="17"/>
      <c r="O45" s="17"/>
    </row>
    <row r="46" spans="1:15" s="3" customFormat="1" ht="64" x14ac:dyDescent="0.2">
      <c r="A46" s="3">
        <v>45</v>
      </c>
      <c r="B46" s="7" t="s">
        <v>69</v>
      </c>
      <c r="C46" s="7">
        <v>51</v>
      </c>
      <c r="D46" s="7">
        <v>1</v>
      </c>
      <c r="E46" s="7">
        <v>28.02</v>
      </c>
      <c r="F46" s="18">
        <v>44466</v>
      </c>
      <c r="G46" s="10">
        <v>0.47916666666666669</v>
      </c>
      <c r="H46" s="11">
        <f t="shared" si="0"/>
        <v>690</v>
      </c>
      <c r="I46" s="11">
        <v>59.15</v>
      </c>
      <c r="J46" s="12">
        <v>44412</v>
      </c>
      <c r="K46" s="12">
        <v>44228</v>
      </c>
      <c r="L46" s="12">
        <v>44256</v>
      </c>
      <c r="M46" s="7" t="s">
        <v>90</v>
      </c>
      <c r="N46" s="8" t="s">
        <v>29</v>
      </c>
      <c r="O46" s="8" t="s">
        <v>30</v>
      </c>
    </row>
    <row r="47" spans="1:15" s="6" customFormat="1" x14ac:dyDescent="0.2">
      <c r="A47" s="6">
        <v>46</v>
      </c>
      <c r="B47" s="13" t="s">
        <v>120</v>
      </c>
      <c r="C47" s="13"/>
      <c r="D47" s="13"/>
      <c r="E47" s="13"/>
      <c r="F47" s="16">
        <v>44466</v>
      </c>
      <c r="G47" s="14">
        <v>0.47916666666666669</v>
      </c>
      <c r="H47" s="15">
        <f t="shared" si="0"/>
        <v>690</v>
      </c>
      <c r="I47" s="15"/>
      <c r="J47" s="16"/>
      <c r="K47" s="16"/>
      <c r="L47" s="16"/>
      <c r="M47" s="13"/>
      <c r="N47" s="17"/>
      <c r="O47" s="17"/>
    </row>
    <row r="48" spans="1:15" s="3" customFormat="1" ht="96" x14ac:dyDescent="0.2">
      <c r="A48" s="3">
        <v>47</v>
      </c>
      <c r="B48" s="7" t="s">
        <v>70</v>
      </c>
      <c r="C48" s="7">
        <v>63</v>
      </c>
      <c r="D48" s="7">
        <v>2</v>
      </c>
      <c r="E48" s="7">
        <v>39.14</v>
      </c>
      <c r="F48" s="18">
        <v>44467</v>
      </c>
      <c r="G48" s="10">
        <v>0.41666666666666669</v>
      </c>
      <c r="H48" s="11">
        <f t="shared" si="0"/>
        <v>600</v>
      </c>
      <c r="I48" s="11">
        <v>61.58</v>
      </c>
      <c r="J48" s="12">
        <v>43891</v>
      </c>
      <c r="K48" s="12">
        <v>44219</v>
      </c>
      <c r="L48" s="12">
        <v>44247</v>
      </c>
      <c r="M48" s="7" t="s">
        <v>90</v>
      </c>
      <c r="N48" s="8" t="s">
        <v>47</v>
      </c>
      <c r="O48" s="8" t="s">
        <v>48</v>
      </c>
    </row>
    <row r="49" spans="1:15" s="3" customFormat="1" ht="64" x14ac:dyDescent="0.2">
      <c r="A49" s="3">
        <v>48</v>
      </c>
      <c r="B49" s="7" t="s">
        <v>71</v>
      </c>
      <c r="C49" s="7">
        <v>43</v>
      </c>
      <c r="D49" s="7">
        <v>2</v>
      </c>
      <c r="E49" s="7">
        <v>39.83</v>
      </c>
      <c r="F49" s="18">
        <v>44470</v>
      </c>
      <c r="G49" s="10">
        <v>0.46875</v>
      </c>
      <c r="H49" s="11">
        <f t="shared" si="0"/>
        <v>675</v>
      </c>
      <c r="I49" s="11">
        <v>128.44</v>
      </c>
      <c r="J49" s="12">
        <v>44547</v>
      </c>
      <c r="K49" s="12">
        <v>44341</v>
      </c>
      <c r="L49" s="12">
        <v>44362</v>
      </c>
      <c r="M49" s="7" t="s">
        <v>90</v>
      </c>
      <c r="N49" s="8" t="s">
        <v>31</v>
      </c>
      <c r="O49" s="8" t="s">
        <v>32</v>
      </c>
    </row>
    <row r="50" spans="1:15" s="3" customFormat="1" ht="80" x14ac:dyDescent="0.2">
      <c r="A50" s="3">
        <v>49</v>
      </c>
      <c r="B50" s="7" t="s">
        <v>72</v>
      </c>
      <c r="C50" s="7">
        <v>22</v>
      </c>
      <c r="D50" s="7">
        <v>2</v>
      </c>
      <c r="E50" s="7">
        <v>16.989999999999998</v>
      </c>
      <c r="F50" s="18">
        <v>44470</v>
      </c>
      <c r="G50" s="10">
        <v>0.48958333333333331</v>
      </c>
      <c r="H50" s="11">
        <f t="shared" si="0"/>
        <v>705</v>
      </c>
      <c r="I50" s="11">
        <v>205.03</v>
      </c>
      <c r="J50" s="12">
        <v>43908</v>
      </c>
      <c r="K50" s="12">
        <v>44394</v>
      </c>
      <c r="L50" s="7" t="s">
        <v>90</v>
      </c>
      <c r="M50" s="7" t="s">
        <v>90</v>
      </c>
      <c r="N50" s="8" t="s">
        <v>33</v>
      </c>
      <c r="O50" s="8" t="s">
        <v>34</v>
      </c>
    </row>
    <row r="51" spans="1:15" s="3" customFormat="1" ht="80" x14ac:dyDescent="0.2">
      <c r="A51" s="3">
        <v>50</v>
      </c>
      <c r="B51" s="7" t="s">
        <v>73</v>
      </c>
      <c r="C51" s="7">
        <v>21</v>
      </c>
      <c r="D51" s="7">
        <v>2</v>
      </c>
      <c r="E51" s="7">
        <v>20.12</v>
      </c>
      <c r="F51" s="18">
        <v>44473</v>
      </c>
      <c r="G51" s="10">
        <v>0.40625</v>
      </c>
      <c r="H51" s="11">
        <f t="shared" si="0"/>
        <v>585</v>
      </c>
      <c r="I51" s="11">
        <v>40.47</v>
      </c>
      <c r="J51" s="12">
        <v>44286</v>
      </c>
      <c r="K51" s="12">
        <v>44378</v>
      </c>
      <c r="L51" s="12">
        <v>44399</v>
      </c>
      <c r="M51" s="7" t="s">
        <v>90</v>
      </c>
      <c r="N51" s="8" t="s">
        <v>35</v>
      </c>
      <c r="O51" s="8" t="s">
        <v>36</v>
      </c>
    </row>
    <row r="52" spans="1:15" s="3" customFormat="1" ht="48" x14ac:dyDescent="0.2">
      <c r="A52" s="3">
        <v>51</v>
      </c>
      <c r="B52" s="7" t="s">
        <v>74</v>
      </c>
      <c r="C52" s="7">
        <v>63</v>
      </c>
      <c r="D52" s="7">
        <v>2</v>
      </c>
      <c r="E52" s="7">
        <v>28.47</v>
      </c>
      <c r="F52" s="18">
        <v>44473</v>
      </c>
      <c r="G52" s="10">
        <v>0.51041666666666663</v>
      </c>
      <c r="H52" s="11">
        <f t="shared" si="0"/>
        <v>735</v>
      </c>
      <c r="I52" s="11">
        <v>78.56</v>
      </c>
      <c r="J52" s="12">
        <v>44424</v>
      </c>
      <c r="K52" s="12">
        <v>44280</v>
      </c>
      <c r="L52" s="12">
        <v>44301</v>
      </c>
      <c r="M52" s="7" t="s">
        <v>90</v>
      </c>
      <c r="N52" s="8" t="s">
        <v>37</v>
      </c>
      <c r="O52" s="8" t="s">
        <v>38</v>
      </c>
    </row>
    <row r="53" spans="1:15" s="3" customFormat="1" ht="48" x14ac:dyDescent="0.2">
      <c r="A53" s="3">
        <v>52</v>
      </c>
      <c r="B53" s="7" t="s">
        <v>75</v>
      </c>
      <c r="C53" s="7">
        <v>48</v>
      </c>
      <c r="D53" s="7">
        <v>2</v>
      </c>
      <c r="E53" s="7">
        <v>48.78</v>
      </c>
      <c r="F53" s="18">
        <v>44473</v>
      </c>
      <c r="G53" s="10">
        <v>0.51041666666666663</v>
      </c>
      <c r="H53" s="11">
        <f t="shared" si="0"/>
        <v>735</v>
      </c>
      <c r="I53" s="11">
        <v>89.12</v>
      </c>
      <c r="J53" s="12">
        <v>44246</v>
      </c>
      <c r="K53" s="12">
        <v>44340</v>
      </c>
      <c r="L53" s="12">
        <v>44375</v>
      </c>
      <c r="M53" s="7" t="s">
        <v>90</v>
      </c>
      <c r="N53" s="8" t="s">
        <v>39</v>
      </c>
      <c r="O53" s="8" t="s">
        <v>40</v>
      </c>
    </row>
    <row r="54" spans="1:15" s="3" customFormat="1" ht="112" x14ac:dyDescent="0.2">
      <c r="A54" s="3">
        <v>53</v>
      </c>
      <c r="B54" s="7" t="s">
        <v>76</v>
      </c>
      <c r="C54" s="7">
        <v>35</v>
      </c>
      <c r="D54" s="7">
        <v>2</v>
      </c>
      <c r="E54" s="7">
        <v>41.85</v>
      </c>
      <c r="F54" s="18">
        <v>44474</v>
      </c>
      <c r="G54" s="10">
        <v>0.53125</v>
      </c>
      <c r="H54" s="11">
        <f t="shared" si="0"/>
        <v>765</v>
      </c>
      <c r="I54" s="11">
        <v>83.17</v>
      </c>
      <c r="J54" s="12">
        <v>43927</v>
      </c>
      <c r="K54" s="12">
        <v>44229</v>
      </c>
      <c r="L54" s="12">
        <v>44247</v>
      </c>
      <c r="M54" s="7" t="s">
        <v>90</v>
      </c>
      <c r="N54" s="8" t="s">
        <v>41</v>
      </c>
      <c r="O54" s="8" t="s">
        <v>42</v>
      </c>
    </row>
    <row r="55" spans="1:15" s="3" customFormat="1" ht="64" x14ac:dyDescent="0.2">
      <c r="A55" s="3">
        <v>54</v>
      </c>
      <c r="B55" s="7" t="s">
        <v>77</v>
      </c>
      <c r="C55" s="7">
        <v>53</v>
      </c>
      <c r="D55" s="7">
        <v>2</v>
      </c>
      <c r="E55" s="7">
        <v>50.74</v>
      </c>
      <c r="F55" s="18">
        <v>44477</v>
      </c>
      <c r="G55" s="10">
        <v>0.41666666666666669</v>
      </c>
      <c r="H55" s="11">
        <f t="shared" si="0"/>
        <v>600</v>
      </c>
      <c r="I55" s="19" t="s">
        <v>90</v>
      </c>
      <c r="J55" s="12">
        <v>44241</v>
      </c>
      <c r="K55" s="12">
        <v>44369</v>
      </c>
      <c r="L55" s="12">
        <v>44390</v>
      </c>
      <c r="M55" s="7" t="s">
        <v>90</v>
      </c>
      <c r="N55" s="8" t="s">
        <v>43</v>
      </c>
      <c r="O55" s="8" t="s">
        <v>44</v>
      </c>
    </row>
    <row r="56" spans="1:15" s="3" customFormat="1" x14ac:dyDescent="0.2">
      <c r="A56">
        <v>55</v>
      </c>
      <c r="B56"/>
      <c r="C56"/>
      <c r="D56"/>
      <c r="E56"/>
      <c r="F56" s="32">
        <v>44477</v>
      </c>
      <c r="G56" t="s">
        <v>128</v>
      </c>
      <c r="H56"/>
      <c r="I56"/>
      <c r="J56"/>
      <c r="K56" s="5"/>
      <c r="L56" s="5"/>
      <c r="N56" s="4"/>
      <c r="O56" s="4"/>
    </row>
    <row r="57" spans="1:15" s="3" customFormat="1" x14ac:dyDescent="0.2">
      <c r="A57">
        <v>56</v>
      </c>
      <c r="B57"/>
      <c r="C57"/>
      <c r="D57"/>
      <c r="E57"/>
      <c r="F57" s="32">
        <v>44477</v>
      </c>
      <c r="G57" t="s">
        <v>132</v>
      </c>
      <c r="H57"/>
      <c r="I57"/>
      <c r="J57"/>
      <c r="K57" s="5"/>
      <c r="N57" s="4"/>
      <c r="O57" s="4"/>
    </row>
    <row r="58" spans="1:15" s="3" customFormat="1" x14ac:dyDescent="0.2">
      <c r="A58">
        <v>57</v>
      </c>
      <c r="B58"/>
      <c r="C58"/>
      <c r="D58"/>
      <c r="E58"/>
      <c r="F58" s="32">
        <v>44480</v>
      </c>
      <c r="G58" t="s">
        <v>132</v>
      </c>
      <c r="H58"/>
      <c r="I58"/>
      <c r="J58"/>
      <c r="K58" s="5"/>
      <c r="L58" s="5"/>
      <c r="N58" s="4"/>
      <c r="O58" s="4"/>
    </row>
    <row r="59" spans="1:15" s="3" customFormat="1" x14ac:dyDescent="0.2">
      <c r="A59">
        <v>58</v>
      </c>
      <c r="B59"/>
      <c r="C59"/>
      <c r="D59"/>
      <c r="E59"/>
      <c r="F59" s="32">
        <v>44481</v>
      </c>
      <c r="G59" t="s">
        <v>133</v>
      </c>
      <c r="H59"/>
      <c r="I59"/>
      <c r="J59"/>
      <c r="K59" s="5"/>
      <c r="L59" s="5"/>
      <c r="N59" s="4"/>
      <c r="O59" s="4"/>
    </row>
    <row r="60" spans="1:15" s="3" customFormat="1" x14ac:dyDescent="0.2">
      <c r="A60">
        <v>59</v>
      </c>
      <c r="B60"/>
      <c r="C60"/>
      <c r="D60"/>
      <c r="E60"/>
      <c r="F60" s="32">
        <v>44481</v>
      </c>
      <c r="G60" t="s">
        <v>123</v>
      </c>
      <c r="H60"/>
      <c r="I60"/>
      <c r="J60"/>
      <c r="K60" s="5"/>
      <c r="L60" s="5"/>
      <c r="N60" s="4"/>
      <c r="O60" s="4"/>
    </row>
    <row r="61" spans="1:15" s="3" customFormat="1" x14ac:dyDescent="0.2">
      <c r="A61">
        <v>60</v>
      </c>
      <c r="B61"/>
      <c r="C61"/>
      <c r="D61"/>
      <c r="E61"/>
      <c r="F61" s="32">
        <v>44484</v>
      </c>
      <c r="G61" t="s">
        <v>123</v>
      </c>
      <c r="H61"/>
      <c r="I61"/>
      <c r="J61"/>
      <c r="K61" s="5"/>
      <c r="N61" s="4"/>
      <c r="O61" s="4"/>
    </row>
    <row r="62" spans="1:15" s="3" customFormat="1" x14ac:dyDescent="0.2">
      <c r="A62">
        <v>61</v>
      </c>
      <c r="B62"/>
      <c r="C62"/>
      <c r="D62"/>
      <c r="E62"/>
      <c r="F62" s="32">
        <v>44484</v>
      </c>
      <c r="G62" t="s">
        <v>130</v>
      </c>
      <c r="H62"/>
      <c r="I62"/>
      <c r="J62"/>
      <c r="N62" s="4"/>
      <c r="O62" s="4"/>
    </row>
    <row r="63" spans="1:15" s="3" customFormat="1" x14ac:dyDescent="0.2">
      <c r="A63">
        <v>62</v>
      </c>
      <c r="B63"/>
      <c r="C63"/>
      <c r="D63"/>
      <c r="E63"/>
      <c r="F63" s="32">
        <v>44487</v>
      </c>
      <c r="G63" t="s">
        <v>125</v>
      </c>
      <c r="H63"/>
      <c r="I63"/>
      <c r="J63"/>
      <c r="K63" s="5"/>
      <c r="L63" s="5"/>
      <c r="N63" s="4"/>
      <c r="O63" s="4"/>
    </row>
    <row r="64" spans="1:15" s="3" customFormat="1" x14ac:dyDescent="0.2">
      <c r="A64">
        <v>63</v>
      </c>
      <c r="B64"/>
      <c r="C64"/>
      <c r="D64"/>
      <c r="E64"/>
      <c r="F64" s="32">
        <v>44487</v>
      </c>
      <c r="G64" t="s">
        <v>134</v>
      </c>
      <c r="H64"/>
      <c r="I64"/>
      <c r="J64"/>
      <c r="N64" s="4"/>
      <c r="O64" s="4"/>
    </row>
    <row r="65" spans="1:15" s="3" customFormat="1" x14ac:dyDescent="0.2">
      <c r="A65">
        <v>64</v>
      </c>
      <c r="B65"/>
      <c r="C65"/>
      <c r="D65"/>
      <c r="E65"/>
      <c r="F65" s="32">
        <v>44491</v>
      </c>
      <c r="G65" t="s">
        <v>125</v>
      </c>
      <c r="H65"/>
      <c r="I65"/>
      <c r="J65"/>
      <c r="K65" s="5"/>
      <c r="L65" s="5"/>
      <c r="N65" s="4"/>
      <c r="O65" s="4"/>
    </row>
    <row r="66" spans="1:15" s="3" customFormat="1" x14ac:dyDescent="0.2">
      <c r="A66">
        <v>65</v>
      </c>
      <c r="B66"/>
      <c r="C66"/>
      <c r="D66"/>
      <c r="E66"/>
      <c r="F66" s="32">
        <v>44491</v>
      </c>
      <c r="G66" t="s">
        <v>124</v>
      </c>
      <c r="H66"/>
      <c r="I66"/>
      <c r="J66"/>
      <c r="K66" s="5"/>
      <c r="N66" s="4"/>
      <c r="O66" s="4"/>
    </row>
    <row r="67" spans="1:15" s="3" customFormat="1" x14ac:dyDescent="0.2">
      <c r="A67">
        <v>66</v>
      </c>
      <c r="B67"/>
      <c r="C67"/>
      <c r="D67"/>
      <c r="E67"/>
      <c r="F67" s="32">
        <v>44491</v>
      </c>
      <c r="G67" t="s">
        <v>127</v>
      </c>
      <c r="H67"/>
      <c r="I67"/>
      <c r="J67"/>
      <c r="K67" s="5"/>
      <c r="L67" s="5"/>
      <c r="N67" s="4"/>
      <c r="O67" s="4"/>
    </row>
    <row r="68" spans="1:15" s="3" customFormat="1" x14ac:dyDescent="0.2">
      <c r="A68">
        <v>80</v>
      </c>
      <c r="B68"/>
      <c r="C68"/>
      <c r="D68"/>
      <c r="E68"/>
      <c r="F68" s="32">
        <v>44505</v>
      </c>
      <c r="G68" t="s">
        <v>128</v>
      </c>
      <c r="H68"/>
      <c r="I68"/>
      <c r="J68"/>
      <c r="K68" s="5"/>
      <c r="L68" s="5"/>
      <c r="N68" s="4"/>
      <c r="O68" s="4"/>
    </row>
    <row r="69" spans="1:15" s="3" customFormat="1" x14ac:dyDescent="0.2">
      <c r="A69">
        <v>81</v>
      </c>
      <c r="B69"/>
      <c r="C69"/>
      <c r="D69"/>
      <c r="E69"/>
      <c r="F69" s="32">
        <v>44505</v>
      </c>
      <c r="G69" t="s">
        <v>125</v>
      </c>
      <c r="H69"/>
      <c r="I69"/>
      <c r="J69"/>
      <c r="K69" s="5"/>
      <c r="L69" s="5"/>
      <c r="N69" s="4"/>
      <c r="O69" s="4"/>
    </row>
    <row r="70" spans="1:15" s="3" customFormat="1" x14ac:dyDescent="0.2">
      <c r="A70">
        <v>82</v>
      </c>
      <c r="B70"/>
      <c r="C70"/>
      <c r="D70"/>
      <c r="E70"/>
      <c r="F70" s="32">
        <v>44505</v>
      </c>
      <c r="G70" t="s">
        <v>127</v>
      </c>
      <c r="H70"/>
      <c r="I70"/>
      <c r="J70"/>
      <c r="N70" s="4"/>
      <c r="O70" s="4"/>
    </row>
    <row r="71" spans="1:15" s="3" customFormat="1" x14ac:dyDescent="0.2">
      <c r="A71">
        <v>83</v>
      </c>
      <c r="B71"/>
      <c r="C71"/>
      <c r="D71"/>
      <c r="E71"/>
      <c r="F71" s="32">
        <v>44508</v>
      </c>
      <c r="G71" t="s">
        <v>122</v>
      </c>
      <c r="H71"/>
      <c r="I71"/>
      <c r="J71"/>
      <c r="N71" s="4"/>
      <c r="O71" s="4"/>
    </row>
    <row r="72" spans="1:15" s="3" customFormat="1" x14ac:dyDescent="0.2">
      <c r="A72">
        <v>84</v>
      </c>
      <c r="B72"/>
      <c r="C72"/>
      <c r="D72"/>
      <c r="E72"/>
      <c r="F72" s="32">
        <v>44508</v>
      </c>
      <c r="G72" t="s">
        <v>127</v>
      </c>
      <c r="H72"/>
      <c r="I72"/>
      <c r="J72"/>
      <c r="K72" s="5"/>
      <c r="L72" s="5"/>
      <c r="N72" s="4"/>
      <c r="O72" s="4"/>
    </row>
    <row r="73" spans="1:15" s="3" customFormat="1" x14ac:dyDescent="0.2">
      <c r="A73">
        <v>85</v>
      </c>
      <c r="B73"/>
      <c r="C73"/>
      <c r="D73"/>
      <c r="E73"/>
      <c r="F73" s="32">
        <v>44509</v>
      </c>
      <c r="G73" t="s">
        <v>129</v>
      </c>
      <c r="H73"/>
      <c r="I73"/>
      <c r="J73"/>
      <c r="K73" s="5"/>
      <c r="L73" s="5"/>
      <c r="N73" s="4"/>
      <c r="O73" s="4"/>
    </row>
    <row r="74" spans="1:15" s="3" customFormat="1" x14ac:dyDescent="0.2">
      <c r="A74">
        <v>86</v>
      </c>
      <c r="B74"/>
      <c r="C74"/>
      <c r="D74"/>
      <c r="E74"/>
      <c r="F74" s="32">
        <v>44512</v>
      </c>
      <c r="G74" t="s">
        <v>132</v>
      </c>
      <c r="H74"/>
      <c r="I74"/>
      <c r="J74"/>
      <c r="K74" s="5"/>
      <c r="M74" s="5"/>
      <c r="N74" s="4"/>
      <c r="O74" s="4"/>
    </row>
    <row r="75" spans="1:15" s="3" customFormat="1" x14ac:dyDescent="0.2">
      <c r="A75">
        <v>87</v>
      </c>
      <c r="B75"/>
      <c r="C75"/>
      <c r="D75"/>
      <c r="E75"/>
      <c r="F75" s="32">
        <v>44512</v>
      </c>
      <c r="G75" t="s">
        <v>129</v>
      </c>
      <c r="H75"/>
      <c r="I75"/>
      <c r="J75"/>
      <c r="K75" s="5"/>
      <c r="N75" s="4"/>
      <c r="O75" s="4"/>
    </row>
    <row r="76" spans="1:15" s="3" customFormat="1" x14ac:dyDescent="0.2">
      <c r="A76">
        <v>88</v>
      </c>
      <c r="B76"/>
      <c r="C76"/>
      <c r="D76"/>
      <c r="E76"/>
      <c r="F76" s="32">
        <v>44515</v>
      </c>
      <c r="G76" t="s">
        <v>126</v>
      </c>
      <c r="H76"/>
      <c r="I76"/>
      <c r="J76"/>
      <c r="K76" s="5"/>
      <c r="L76" s="5"/>
      <c r="N76" s="4"/>
      <c r="O76" s="4"/>
    </row>
    <row r="77" spans="1:15" s="3" customFormat="1" x14ac:dyDescent="0.2">
      <c r="A77">
        <v>89</v>
      </c>
      <c r="B77"/>
      <c r="C77"/>
      <c r="D77"/>
      <c r="E77"/>
      <c r="F77" s="32">
        <v>44519</v>
      </c>
      <c r="G77" t="s">
        <v>131</v>
      </c>
      <c r="H77"/>
      <c r="I77"/>
      <c r="J77"/>
      <c r="K77" s="5"/>
      <c r="L77" s="5"/>
      <c r="M77" s="5"/>
      <c r="N77" s="4"/>
      <c r="O77" s="4"/>
    </row>
    <row r="78" spans="1:15" s="3" customFormat="1" x14ac:dyDescent="0.2">
      <c r="A78">
        <v>90</v>
      </c>
      <c r="B78"/>
      <c r="C78"/>
      <c r="D78"/>
      <c r="E78"/>
      <c r="F78" s="32">
        <v>44519</v>
      </c>
      <c r="G78" t="s">
        <v>125</v>
      </c>
      <c r="H78"/>
      <c r="I78"/>
      <c r="J78"/>
      <c r="K78" s="5"/>
      <c r="N78" s="4"/>
      <c r="O78" s="4"/>
    </row>
    <row r="79" spans="1:15" s="3" customFormat="1" x14ac:dyDescent="0.2">
      <c r="A79">
        <v>92</v>
      </c>
      <c r="B79"/>
      <c r="C79"/>
      <c r="D79"/>
      <c r="E79"/>
      <c r="F79" s="32">
        <v>44522</v>
      </c>
      <c r="G79" t="s">
        <v>130</v>
      </c>
      <c r="H79"/>
      <c r="I79"/>
      <c r="J79"/>
      <c r="K79" s="5"/>
      <c r="L79" s="5"/>
      <c r="N79" s="4"/>
      <c r="O79" s="4"/>
    </row>
    <row r="80" spans="1:15" s="3" customFormat="1" x14ac:dyDescent="0.2">
      <c r="A80">
        <v>93</v>
      </c>
      <c r="B80"/>
      <c r="C80"/>
      <c r="D80"/>
      <c r="E80"/>
      <c r="F80" s="32">
        <v>44522</v>
      </c>
      <c r="G80" t="s">
        <v>127</v>
      </c>
      <c r="H80"/>
      <c r="I80"/>
      <c r="J80"/>
      <c r="K80" s="5"/>
      <c r="N80" s="4"/>
      <c r="O80" s="4"/>
    </row>
    <row r="81" spans="1:15" s="3" customFormat="1" x14ac:dyDescent="0.2">
      <c r="A81">
        <v>94</v>
      </c>
      <c r="B81"/>
      <c r="C81"/>
      <c r="D81"/>
      <c r="E81"/>
      <c r="F81" s="32">
        <v>44523</v>
      </c>
      <c r="G81" t="s">
        <v>129</v>
      </c>
      <c r="H81"/>
      <c r="I81"/>
      <c r="J81"/>
      <c r="K81" s="5"/>
      <c r="L81" s="5"/>
      <c r="N81" s="4"/>
      <c r="O81" s="4"/>
    </row>
    <row r="82" spans="1:15" s="3" customFormat="1" x14ac:dyDescent="0.2">
      <c r="A82">
        <v>95</v>
      </c>
      <c r="B82"/>
      <c r="C82"/>
      <c r="D82"/>
      <c r="E82"/>
      <c r="F82" s="32">
        <v>44529</v>
      </c>
      <c r="G82" t="s">
        <v>132</v>
      </c>
      <c r="H82"/>
      <c r="I82"/>
      <c r="J82"/>
      <c r="K82" s="5"/>
      <c r="L82" s="5"/>
      <c r="N82" s="4"/>
      <c r="O82" s="4"/>
    </row>
    <row r="83" spans="1:15" x14ac:dyDescent="0.2">
      <c r="F83"/>
      <c r="G83"/>
      <c r="H83"/>
      <c r="I83"/>
    </row>
    <row r="84" spans="1:15" x14ac:dyDescent="0.2">
      <c r="F84"/>
      <c r="G84"/>
      <c r="H84"/>
      <c r="I84"/>
    </row>
    <row r="85" spans="1:15" x14ac:dyDescent="0.2">
      <c r="F85"/>
      <c r="G85"/>
      <c r="H85"/>
      <c r="I85"/>
    </row>
    <row r="86" spans="1:15" x14ac:dyDescent="0.2">
      <c r="F86"/>
      <c r="G86"/>
      <c r="H86"/>
      <c r="I86"/>
    </row>
    <row r="87" spans="1:15" x14ac:dyDescent="0.2">
      <c r="F87"/>
      <c r="G87"/>
      <c r="H87"/>
      <c r="I87"/>
    </row>
    <row r="88" spans="1:15" x14ac:dyDescent="0.2">
      <c r="F88"/>
      <c r="G88"/>
      <c r="H88"/>
      <c r="I88"/>
    </row>
    <row r="89" spans="1:15" x14ac:dyDescent="0.2">
      <c r="F89"/>
      <c r="G89"/>
      <c r="H89"/>
      <c r="I89"/>
    </row>
    <row r="90" spans="1:15" x14ac:dyDescent="0.2">
      <c r="F90"/>
      <c r="G90"/>
      <c r="H90"/>
      <c r="I90"/>
    </row>
    <row r="91" spans="1:15" x14ac:dyDescent="0.2">
      <c r="F91"/>
      <c r="G91"/>
      <c r="H91"/>
      <c r="I91"/>
    </row>
    <row r="92" spans="1:15" x14ac:dyDescent="0.2">
      <c r="F92"/>
      <c r="G92"/>
      <c r="H92"/>
      <c r="I92"/>
    </row>
    <row r="93" spans="1:15" x14ac:dyDescent="0.2">
      <c r="F93"/>
      <c r="G93"/>
      <c r="H93"/>
      <c r="I93"/>
    </row>
    <row r="94" spans="1:15" x14ac:dyDescent="0.2">
      <c r="F94"/>
      <c r="G94"/>
      <c r="H94"/>
      <c r="I94"/>
    </row>
    <row r="95" spans="1:15" x14ac:dyDescent="0.2">
      <c r="F95"/>
      <c r="G95"/>
      <c r="H95"/>
      <c r="I95"/>
    </row>
    <row r="96" spans="1:15" x14ac:dyDescent="0.2">
      <c r="F96"/>
      <c r="G96"/>
      <c r="H96"/>
      <c r="I96"/>
    </row>
    <row r="97" spans="6:9" x14ac:dyDescent="0.2">
      <c r="F97"/>
      <c r="G97"/>
      <c r="H97"/>
      <c r="I97"/>
    </row>
    <row r="98" spans="6:9" x14ac:dyDescent="0.2">
      <c r="F98"/>
      <c r="G98"/>
      <c r="H98"/>
      <c r="I98"/>
    </row>
    <row r="99" spans="6:9" x14ac:dyDescent="0.2">
      <c r="F99"/>
      <c r="G99"/>
      <c r="H99"/>
      <c r="I99"/>
    </row>
    <row r="100" spans="6:9" x14ac:dyDescent="0.2">
      <c r="F100"/>
      <c r="G100"/>
      <c r="H100"/>
      <c r="I100"/>
    </row>
    <row r="101" spans="6:9" x14ac:dyDescent="0.2">
      <c r="F101"/>
      <c r="G101"/>
      <c r="H101"/>
      <c r="I101"/>
    </row>
    <row r="102" spans="6:9" x14ac:dyDescent="0.2">
      <c r="F102"/>
      <c r="G102"/>
      <c r="H102"/>
      <c r="I102"/>
    </row>
    <row r="103" spans="6:9" x14ac:dyDescent="0.2">
      <c r="F103"/>
      <c r="G103"/>
      <c r="H103"/>
      <c r="I103"/>
    </row>
    <row r="104" spans="6:9" x14ac:dyDescent="0.2">
      <c r="F104"/>
      <c r="G104"/>
      <c r="H104"/>
      <c r="I104"/>
    </row>
    <row r="105" spans="6:9" x14ac:dyDescent="0.2">
      <c r="F105"/>
      <c r="G105"/>
      <c r="H105"/>
      <c r="I105"/>
    </row>
    <row r="106" spans="6:9" x14ac:dyDescent="0.2">
      <c r="F106"/>
      <c r="G106"/>
      <c r="H106"/>
      <c r="I106"/>
    </row>
    <row r="107" spans="6:9" x14ac:dyDescent="0.2">
      <c r="F107"/>
      <c r="G107"/>
      <c r="H107"/>
      <c r="I107"/>
    </row>
    <row r="108" spans="6:9" x14ac:dyDescent="0.2">
      <c r="F108"/>
      <c r="G108"/>
      <c r="H108"/>
      <c r="I108"/>
    </row>
    <row r="109" spans="6:9" x14ac:dyDescent="0.2">
      <c r="F109"/>
      <c r="G109"/>
      <c r="H109"/>
      <c r="I109"/>
    </row>
    <row r="110" spans="6:9" x14ac:dyDescent="0.2">
      <c r="F110"/>
      <c r="G110"/>
      <c r="H110"/>
      <c r="I110"/>
    </row>
    <row r="111" spans="6:9" x14ac:dyDescent="0.2">
      <c r="F111"/>
      <c r="G111"/>
      <c r="H111"/>
      <c r="I111"/>
    </row>
    <row r="112" spans="6:9" x14ac:dyDescent="0.2">
      <c r="F112"/>
      <c r="G112"/>
      <c r="H112"/>
      <c r="I112"/>
    </row>
    <row r="113" spans="6:9" x14ac:dyDescent="0.2">
      <c r="F113"/>
      <c r="G113"/>
      <c r="H113"/>
      <c r="I113"/>
    </row>
    <row r="114" spans="6:9" x14ac:dyDescent="0.2">
      <c r="F114"/>
      <c r="G114"/>
      <c r="H114"/>
      <c r="I114"/>
    </row>
    <row r="115" spans="6:9" x14ac:dyDescent="0.2">
      <c r="F115"/>
      <c r="G115"/>
      <c r="H115"/>
      <c r="I115"/>
    </row>
    <row r="116" spans="6:9" x14ac:dyDescent="0.2">
      <c r="F116"/>
      <c r="G116"/>
      <c r="H116"/>
      <c r="I116"/>
    </row>
    <row r="117" spans="6:9" x14ac:dyDescent="0.2">
      <c r="F117"/>
      <c r="G117"/>
      <c r="H117"/>
      <c r="I117"/>
    </row>
    <row r="118" spans="6:9" x14ac:dyDescent="0.2">
      <c r="F118"/>
      <c r="G118"/>
      <c r="H118"/>
      <c r="I118"/>
    </row>
    <row r="119" spans="6:9" x14ac:dyDescent="0.2">
      <c r="F119"/>
      <c r="G119"/>
      <c r="H119"/>
      <c r="I119"/>
    </row>
    <row r="120" spans="6:9" x14ac:dyDescent="0.2">
      <c r="F120"/>
      <c r="G120"/>
      <c r="H120"/>
      <c r="I120"/>
    </row>
    <row r="121" spans="6:9" x14ac:dyDescent="0.2">
      <c r="F121"/>
      <c r="G121"/>
      <c r="H121"/>
      <c r="I121"/>
    </row>
    <row r="122" spans="6:9" x14ac:dyDescent="0.2">
      <c r="F122"/>
      <c r="G122"/>
      <c r="H122"/>
      <c r="I122"/>
    </row>
    <row r="123" spans="6:9" x14ac:dyDescent="0.2">
      <c r="F123"/>
      <c r="G123"/>
      <c r="H123"/>
      <c r="I123"/>
    </row>
    <row r="124" spans="6:9" x14ac:dyDescent="0.2">
      <c r="F124"/>
      <c r="G124"/>
      <c r="H124"/>
      <c r="I124"/>
    </row>
    <row r="125" spans="6:9" x14ac:dyDescent="0.2">
      <c r="F125"/>
      <c r="G125"/>
      <c r="H125"/>
      <c r="I125"/>
    </row>
    <row r="126" spans="6:9" x14ac:dyDescent="0.2">
      <c r="F126"/>
      <c r="G126"/>
      <c r="H126"/>
      <c r="I126"/>
    </row>
    <row r="127" spans="6:9" x14ac:dyDescent="0.2">
      <c r="F127"/>
      <c r="G127"/>
      <c r="H127"/>
      <c r="I127"/>
    </row>
    <row r="128" spans="6:9" x14ac:dyDescent="0.2">
      <c r="F128"/>
      <c r="G128"/>
      <c r="H128"/>
      <c r="I128"/>
    </row>
    <row r="129" spans="6:9" x14ac:dyDescent="0.2">
      <c r="F129"/>
      <c r="G129"/>
      <c r="H129"/>
      <c r="I129"/>
    </row>
    <row r="130" spans="6:9" x14ac:dyDescent="0.2">
      <c r="F130"/>
      <c r="G130"/>
      <c r="H130"/>
      <c r="I130"/>
    </row>
    <row r="131" spans="6:9" x14ac:dyDescent="0.2">
      <c r="F131"/>
      <c r="G131"/>
      <c r="H131"/>
      <c r="I131"/>
    </row>
    <row r="132" spans="6:9" x14ac:dyDescent="0.2">
      <c r="F132"/>
      <c r="G132"/>
      <c r="H132"/>
      <c r="I132"/>
    </row>
    <row r="133" spans="6:9" x14ac:dyDescent="0.2">
      <c r="F133"/>
      <c r="G133"/>
      <c r="H133"/>
      <c r="I133"/>
    </row>
    <row r="134" spans="6:9" x14ac:dyDescent="0.2">
      <c r="F134"/>
      <c r="G134"/>
      <c r="H134"/>
      <c r="I134"/>
    </row>
    <row r="135" spans="6:9" x14ac:dyDescent="0.2">
      <c r="F135"/>
      <c r="G135"/>
      <c r="H135"/>
      <c r="I135"/>
    </row>
    <row r="136" spans="6:9" x14ac:dyDescent="0.2">
      <c r="F136"/>
      <c r="G136"/>
      <c r="H136"/>
      <c r="I136"/>
    </row>
    <row r="137" spans="6:9" x14ac:dyDescent="0.2">
      <c r="F137"/>
      <c r="G137"/>
      <c r="H137"/>
      <c r="I137"/>
    </row>
    <row r="138" spans="6:9" x14ac:dyDescent="0.2">
      <c r="F138"/>
      <c r="G138"/>
      <c r="H138"/>
      <c r="I138"/>
    </row>
    <row r="139" spans="6:9" x14ac:dyDescent="0.2">
      <c r="F139"/>
      <c r="G139"/>
      <c r="H139"/>
      <c r="I139"/>
    </row>
    <row r="140" spans="6:9" x14ac:dyDescent="0.2">
      <c r="F140"/>
      <c r="G140"/>
      <c r="H140"/>
      <c r="I140"/>
    </row>
    <row r="141" spans="6:9" x14ac:dyDescent="0.2">
      <c r="F141"/>
      <c r="G141"/>
      <c r="H141"/>
      <c r="I141"/>
    </row>
    <row r="142" spans="6:9" x14ac:dyDescent="0.2">
      <c r="F142"/>
      <c r="G142"/>
      <c r="H142"/>
      <c r="I142"/>
    </row>
    <row r="143" spans="6:9" x14ac:dyDescent="0.2">
      <c r="F143"/>
      <c r="G143"/>
      <c r="H143"/>
      <c r="I143"/>
    </row>
    <row r="144" spans="6:9" x14ac:dyDescent="0.2">
      <c r="F144"/>
      <c r="G144"/>
      <c r="H144"/>
      <c r="I144"/>
    </row>
    <row r="145" spans="6:9" x14ac:dyDescent="0.2">
      <c r="F145"/>
      <c r="G145"/>
      <c r="H145"/>
      <c r="I145"/>
    </row>
    <row r="146" spans="6:9" x14ac:dyDescent="0.2">
      <c r="F146"/>
      <c r="G146"/>
      <c r="H146"/>
      <c r="I146"/>
    </row>
    <row r="147" spans="6:9" x14ac:dyDescent="0.2">
      <c r="F147"/>
      <c r="G147"/>
      <c r="H147"/>
      <c r="I147"/>
    </row>
    <row r="148" spans="6:9" x14ac:dyDescent="0.2">
      <c r="F148"/>
      <c r="G148"/>
      <c r="H148"/>
      <c r="I148"/>
    </row>
    <row r="149" spans="6:9" x14ac:dyDescent="0.2">
      <c r="F149"/>
      <c r="G149"/>
      <c r="H149"/>
      <c r="I149"/>
    </row>
    <row r="150" spans="6:9" x14ac:dyDescent="0.2">
      <c r="F150"/>
      <c r="G150"/>
      <c r="H150"/>
      <c r="I150"/>
    </row>
    <row r="151" spans="6:9" x14ac:dyDescent="0.2">
      <c r="F151"/>
      <c r="G151"/>
      <c r="H151"/>
      <c r="I151"/>
    </row>
    <row r="152" spans="6:9" x14ac:dyDescent="0.2">
      <c r="F152"/>
      <c r="G152"/>
      <c r="H152"/>
      <c r="I152"/>
    </row>
    <row r="153" spans="6:9" x14ac:dyDescent="0.2">
      <c r="F153"/>
      <c r="G153"/>
      <c r="H153"/>
      <c r="I153"/>
    </row>
    <row r="154" spans="6:9" x14ac:dyDescent="0.2">
      <c r="F154"/>
      <c r="G154"/>
      <c r="H154"/>
      <c r="I154"/>
    </row>
    <row r="155" spans="6:9" x14ac:dyDescent="0.2">
      <c r="F155"/>
      <c r="G155"/>
      <c r="H155"/>
      <c r="I155"/>
    </row>
    <row r="156" spans="6:9" x14ac:dyDescent="0.2">
      <c r="F156"/>
      <c r="G156"/>
      <c r="H156"/>
      <c r="I156"/>
    </row>
    <row r="157" spans="6:9" x14ac:dyDescent="0.2">
      <c r="F157"/>
      <c r="G157"/>
      <c r="H157"/>
      <c r="I157"/>
    </row>
    <row r="158" spans="6:9" x14ac:dyDescent="0.2">
      <c r="F158"/>
      <c r="G158"/>
      <c r="H158"/>
      <c r="I158"/>
    </row>
    <row r="159" spans="6:9" x14ac:dyDescent="0.2">
      <c r="F159"/>
      <c r="G159"/>
      <c r="H159"/>
      <c r="I159"/>
    </row>
    <row r="160" spans="6:9" x14ac:dyDescent="0.2">
      <c r="F160"/>
      <c r="G160"/>
      <c r="H160"/>
      <c r="I160"/>
    </row>
    <row r="161" spans="6:9" x14ac:dyDescent="0.2">
      <c r="F161"/>
      <c r="G161"/>
      <c r="H161"/>
      <c r="I161"/>
    </row>
    <row r="162" spans="6:9" x14ac:dyDescent="0.2">
      <c r="F162"/>
      <c r="G162"/>
      <c r="H162"/>
      <c r="I162"/>
    </row>
    <row r="163" spans="6:9" x14ac:dyDescent="0.2">
      <c r="F163"/>
      <c r="G163"/>
      <c r="H163"/>
      <c r="I163"/>
    </row>
    <row r="164" spans="6:9" x14ac:dyDescent="0.2">
      <c r="F164"/>
      <c r="G164"/>
      <c r="H164"/>
      <c r="I164"/>
    </row>
    <row r="165" spans="6:9" x14ac:dyDescent="0.2">
      <c r="F165"/>
      <c r="G165"/>
      <c r="H165"/>
      <c r="I165"/>
    </row>
    <row r="166" spans="6:9" x14ac:dyDescent="0.2">
      <c r="F166"/>
      <c r="G166"/>
      <c r="H166"/>
      <c r="I166"/>
    </row>
    <row r="167" spans="6:9" x14ac:dyDescent="0.2">
      <c r="F167"/>
      <c r="G167"/>
      <c r="H167"/>
      <c r="I167"/>
    </row>
    <row r="168" spans="6:9" x14ac:dyDescent="0.2">
      <c r="F168"/>
      <c r="G168"/>
      <c r="H168"/>
      <c r="I168"/>
    </row>
    <row r="169" spans="6:9" x14ac:dyDescent="0.2">
      <c r="F169"/>
      <c r="G169"/>
      <c r="H169"/>
      <c r="I169"/>
    </row>
    <row r="170" spans="6:9" x14ac:dyDescent="0.2">
      <c r="F170"/>
      <c r="G170"/>
      <c r="H170"/>
      <c r="I170"/>
    </row>
    <row r="171" spans="6:9" x14ac:dyDescent="0.2">
      <c r="F171"/>
      <c r="G171"/>
      <c r="H171"/>
      <c r="I171"/>
    </row>
    <row r="172" spans="6:9" x14ac:dyDescent="0.2">
      <c r="F172"/>
      <c r="G172"/>
      <c r="H172"/>
      <c r="I172"/>
    </row>
    <row r="173" spans="6:9" x14ac:dyDescent="0.2">
      <c r="F173"/>
      <c r="G173"/>
      <c r="H173"/>
      <c r="I173"/>
    </row>
    <row r="174" spans="6:9" x14ac:dyDescent="0.2">
      <c r="F174"/>
      <c r="G174"/>
      <c r="H174"/>
      <c r="I174"/>
    </row>
    <row r="175" spans="6:9" x14ac:dyDescent="0.2">
      <c r="F175"/>
      <c r="G175"/>
      <c r="H175"/>
      <c r="I175"/>
    </row>
    <row r="176" spans="6:9" x14ac:dyDescent="0.2">
      <c r="F176"/>
      <c r="G176"/>
      <c r="H176"/>
      <c r="I176"/>
    </row>
    <row r="177" spans="6:9" x14ac:dyDescent="0.2">
      <c r="F177"/>
      <c r="G177"/>
      <c r="H177"/>
      <c r="I177"/>
    </row>
    <row r="178" spans="6:9" x14ac:dyDescent="0.2">
      <c r="F178"/>
      <c r="G178"/>
      <c r="H178"/>
      <c r="I178"/>
    </row>
    <row r="179" spans="6:9" x14ac:dyDescent="0.2">
      <c r="F179"/>
      <c r="G179"/>
      <c r="H179"/>
      <c r="I179"/>
    </row>
    <row r="180" spans="6:9" x14ac:dyDescent="0.2">
      <c r="F180"/>
      <c r="G180"/>
      <c r="H180"/>
      <c r="I180"/>
    </row>
    <row r="181" spans="6:9" x14ac:dyDescent="0.2">
      <c r="F181"/>
      <c r="G181"/>
      <c r="H181"/>
      <c r="I181"/>
    </row>
    <row r="182" spans="6:9" x14ac:dyDescent="0.2">
      <c r="F182"/>
      <c r="G182"/>
      <c r="H182"/>
      <c r="I182"/>
    </row>
    <row r="183" spans="6:9" x14ac:dyDescent="0.2">
      <c r="F183"/>
      <c r="G183"/>
      <c r="H183"/>
      <c r="I183"/>
    </row>
    <row r="184" spans="6:9" x14ac:dyDescent="0.2">
      <c r="F184"/>
      <c r="G184"/>
      <c r="H184"/>
      <c r="I184"/>
    </row>
    <row r="185" spans="6:9" x14ac:dyDescent="0.2">
      <c r="F185"/>
      <c r="G185"/>
      <c r="H185"/>
      <c r="I185"/>
    </row>
    <row r="186" spans="6:9" x14ac:dyDescent="0.2">
      <c r="F186"/>
      <c r="G186"/>
      <c r="H186"/>
      <c r="I186"/>
    </row>
    <row r="187" spans="6:9" x14ac:dyDescent="0.2">
      <c r="F187"/>
      <c r="G187"/>
      <c r="H187"/>
      <c r="I187"/>
    </row>
    <row r="188" spans="6:9" x14ac:dyDescent="0.2">
      <c r="F188"/>
      <c r="G188"/>
      <c r="H188"/>
      <c r="I188"/>
    </row>
    <row r="189" spans="6:9" x14ac:dyDescent="0.2">
      <c r="F189"/>
      <c r="G189"/>
      <c r="H189"/>
      <c r="I189"/>
    </row>
    <row r="190" spans="6:9" x14ac:dyDescent="0.2">
      <c r="F190"/>
      <c r="G190"/>
      <c r="H190"/>
      <c r="I190"/>
    </row>
    <row r="191" spans="6:9" x14ac:dyDescent="0.2">
      <c r="F191"/>
      <c r="G191"/>
      <c r="H191"/>
      <c r="I191"/>
    </row>
    <row r="192" spans="6:9" x14ac:dyDescent="0.2">
      <c r="F192"/>
      <c r="G192"/>
      <c r="H192"/>
      <c r="I192"/>
    </row>
    <row r="193" spans="6:9" x14ac:dyDescent="0.2">
      <c r="F193"/>
      <c r="G193"/>
      <c r="H193"/>
      <c r="I193"/>
    </row>
    <row r="194" spans="6:9" x14ac:dyDescent="0.2">
      <c r="F194"/>
      <c r="G194"/>
      <c r="H194"/>
      <c r="I194"/>
    </row>
    <row r="195" spans="6:9" x14ac:dyDescent="0.2">
      <c r="F195"/>
      <c r="G195"/>
      <c r="H195"/>
      <c r="I195"/>
    </row>
    <row r="196" spans="6:9" x14ac:dyDescent="0.2">
      <c r="F196"/>
      <c r="G196"/>
      <c r="H196"/>
      <c r="I196"/>
    </row>
    <row r="197" spans="6:9" x14ac:dyDescent="0.2">
      <c r="F197"/>
      <c r="G197"/>
      <c r="H197"/>
      <c r="I197"/>
    </row>
    <row r="198" spans="6:9" x14ac:dyDescent="0.2">
      <c r="F198"/>
      <c r="G198"/>
      <c r="H198"/>
      <c r="I198"/>
    </row>
    <row r="199" spans="6:9" x14ac:dyDescent="0.2">
      <c r="F199"/>
      <c r="G199"/>
      <c r="H199"/>
      <c r="I199"/>
    </row>
    <row r="200" spans="6:9" x14ac:dyDescent="0.2">
      <c r="F200"/>
      <c r="G200"/>
      <c r="H200"/>
      <c r="I200"/>
    </row>
    <row r="201" spans="6:9" x14ac:dyDescent="0.2">
      <c r="F201"/>
      <c r="G201"/>
      <c r="H201"/>
      <c r="I201"/>
    </row>
    <row r="202" spans="6:9" x14ac:dyDescent="0.2">
      <c r="F202"/>
      <c r="G202"/>
      <c r="H202"/>
      <c r="I202"/>
    </row>
    <row r="203" spans="6:9" x14ac:dyDescent="0.2">
      <c r="F203"/>
      <c r="G203"/>
      <c r="H203"/>
      <c r="I203"/>
    </row>
    <row r="204" spans="6:9" x14ac:dyDescent="0.2">
      <c r="F204"/>
      <c r="G204"/>
      <c r="H204"/>
      <c r="I204"/>
    </row>
    <row r="205" spans="6:9" x14ac:dyDescent="0.2">
      <c r="F205"/>
      <c r="G205"/>
      <c r="H205"/>
      <c r="I205"/>
    </row>
    <row r="206" spans="6:9" x14ac:dyDescent="0.2">
      <c r="F206"/>
      <c r="G206"/>
      <c r="H206"/>
      <c r="I206"/>
    </row>
    <row r="207" spans="6:9" x14ac:dyDescent="0.2">
      <c r="F207"/>
      <c r="G207"/>
      <c r="H207"/>
      <c r="I207"/>
    </row>
    <row r="208" spans="6:9" x14ac:dyDescent="0.2">
      <c r="F208"/>
      <c r="G208"/>
      <c r="H208"/>
      <c r="I208"/>
    </row>
    <row r="209" spans="6:9" x14ac:dyDescent="0.2">
      <c r="F209"/>
      <c r="G209"/>
      <c r="H209"/>
      <c r="I209"/>
    </row>
    <row r="210" spans="6:9" x14ac:dyDescent="0.2">
      <c r="F210"/>
      <c r="G210"/>
      <c r="H210"/>
      <c r="I210"/>
    </row>
    <row r="211" spans="6:9" x14ac:dyDescent="0.2">
      <c r="F211"/>
      <c r="G211"/>
      <c r="H211"/>
      <c r="I211"/>
    </row>
    <row r="212" spans="6:9" x14ac:dyDescent="0.2">
      <c r="F212"/>
      <c r="G212"/>
      <c r="H212"/>
      <c r="I212"/>
    </row>
    <row r="213" spans="6:9" x14ac:dyDescent="0.2">
      <c r="F213"/>
      <c r="G213"/>
      <c r="H213"/>
      <c r="I213"/>
    </row>
    <row r="214" spans="6:9" x14ac:dyDescent="0.2">
      <c r="F214"/>
      <c r="G214"/>
      <c r="H214"/>
      <c r="I214"/>
    </row>
    <row r="215" spans="6:9" x14ac:dyDescent="0.2">
      <c r="F215"/>
      <c r="G215"/>
      <c r="H215"/>
      <c r="I215"/>
    </row>
    <row r="216" spans="6:9" x14ac:dyDescent="0.2">
      <c r="F216"/>
      <c r="G216"/>
      <c r="H216"/>
      <c r="I216"/>
    </row>
    <row r="217" spans="6:9" x14ac:dyDescent="0.2">
      <c r="F217"/>
      <c r="G217"/>
      <c r="H217"/>
      <c r="I217"/>
    </row>
    <row r="218" spans="6:9" x14ac:dyDescent="0.2">
      <c r="F218"/>
      <c r="G218"/>
      <c r="H218"/>
      <c r="I218"/>
    </row>
    <row r="219" spans="6:9" x14ac:dyDescent="0.2">
      <c r="F219"/>
      <c r="G219"/>
      <c r="H219"/>
      <c r="I219"/>
    </row>
    <row r="220" spans="6:9" x14ac:dyDescent="0.2">
      <c r="F220"/>
      <c r="G220"/>
      <c r="H220"/>
      <c r="I220"/>
    </row>
    <row r="221" spans="6:9" x14ac:dyDescent="0.2">
      <c r="F221"/>
      <c r="G221"/>
      <c r="H221"/>
      <c r="I221"/>
    </row>
    <row r="222" spans="6:9" x14ac:dyDescent="0.2">
      <c r="F222"/>
      <c r="G222"/>
      <c r="H222"/>
      <c r="I222"/>
    </row>
    <row r="223" spans="6:9" x14ac:dyDescent="0.2">
      <c r="F223"/>
      <c r="G223"/>
      <c r="H223"/>
      <c r="I223"/>
    </row>
    <row r="224" spans="6:9" x14ac:dyDescent="0.2">
      <c r="F224"/>
      <c r="G224"/>
      <c r="H224"/>
      <c r="I224"/>
    </row>
    <row r="225" spans="6:9" x14ac:dyDescent="0.2">
      <c r="F225"/>
      <c r="G225"/>
      <c r="H225"/>
      <c r="I225"/>
    </row>
    <row r="226" spans="6:9" x14ac:dyDescent="0.2">
      <c r="F226"/>
      <c r="G226"/>
      <c r="H226"/>
      <c r="I226"/>
    </row>
    <row r="227" spans="6:9" x14ac:dyDescent="0.2">
      <c r="F227"/>
      <c r="G227"/>
      <c r="H227"/>
      <c r="I227"/>
    </row>
    <row r="228" spans="6:9" x14ac:dyDescent="0.2">
      <c r="F228"/>
      <c r="G228"/>
      <c r="H228"/>
      <c r="I228"/>
    </row>
    <row r="229" spans="6:9" x14ac:dyDescent="0.2">
      <c r="F229"/>
      <c r="G229"/>
      <c r="H229"/>
      <c r="I229"/>
    </row>
    <row r="230" spans="6:9" x14ac:dyDescent="0.2">
      <c r="F230"/>
      <c r="G230"/>
      <c r="H230"/>
      <c r="I230"/>
    </row>
    <row r="231" spans="6:9" x14ac:dyDescent="0.2">
      <c r="F231"/>
      <c r="G231"/>
      <c r="H231"/>
      <c r="I231"/>
    </row>
    <row r="232" spans="6:9" x14ac:dyDescent="0.2">
      <c r="F232"/>
      <c r="G232"/>
      <c r="H232"/>
      <c r="I232"/>
    </row>
    <row r="233" spans="6:9" x14ac:dyDescent="0.2">
      <c r="F233"/>
      <c r="G233"/>
      <c r="H233"/>
      <c r="I233"/>
    </row>
    <row r="234" spans="6:9" x14ac:dyDescent="0.2">
      <c r="F234"/>
      <c r="G234"/>
      <c r="H234"/>
      <c r="I234"/>
    </row>
    <row r="235" spans="6:9" x14ac:dyDescent="0.2">
      <c r="F235"/>
      <c r="G235"/>
      <c r="H235"/>
      <c r="I235"/>
    </row>
    <row r="236" spans="6:9" x14ac:dyDescent="0.2">
      <c r="F236"/>
      <c r="G236"/>
      <c r="H236"/>
      <c r="I236"/>
    </row>
    <row r="237" spans="6:9" x14ac:dyDescent="0.2">
      <c r="F237"/>
      <c r="G237"/>
      <c r="H237"/>
      <c r="I237"/>
    </row>
    <row r="238" spans="6:9" x14ac:dyDescent="0.2">
      <c r="F238"/>
      <c r="G238"/>
      <c r="H238"/>
      <c r="I238"/>
    </row>
    <row r="239" spans="6:9" x14ac:dyDescent="0.2">
      <c r="F239"/>
      <c r="G239"/>
      <c r="H239"/>
      <c r="I239"/>
    </row>
    <row r="240" spans="6:9" x14ac:dyDescent="0.2">
      <c r="F240"/>
      <c r="G240"/>
      <c r="H240"/>
      <c r="I240"/>
    </row>
    <row r="241" spans="6:9" x14ac:dyDescent="0.2">
      <c r="F241"/>
      <c r="G241"/>
      <c r="H241"/>
      <c r="I241"/>
    </row>
    <row r="242" spans="6:9" x14ac:dyDescent="0.2">
      <c r="F242"/>
      <c r="G242"/>
      <c r="H242"/>
      <c r="I242"/>
    </row>
    <row r="243" spans="6:9" x14ac:dyDescent="0.2">
      <c r="F243"/>
      <c r="G243"/>
      <c r="H243"/>
      <c r="I243"/>
    </row>
    <row r="244" spans="6:9" x14ac:dyDescent="0.2">
      <c r="F244"/>
      <c r="G244"/>
      <c r="H244"/>
      <c r="I244"/>
    </row>
    <row r="245" spans="6:9" x14ac:dyDescent="0.2">
      <c r="F245"/>
      <c r="G245"/>
      <c r="H245"/>
      <c r="I245"/>
    </row>
    <row r="246" spans="6:9" x14ac:dyDescent="0.2">
      <c r="F246"/>
      <c r="G246"/>
      <c r="H246"/>
      <c r="I246"/>
    </row>
    <row r="247" spans="6:9" x14ac:dyDescent="0.2">
      <c r="F247"/>
      <c r="G247"/>
      <c r="H247"/>
      <c r="I247"/>
    </row>
    <row r="248" spans="6:9" x14ac:dyDescent="0.2">
      <c r="F248"/>
      <c r="G248"/>
      <c r="H248"/>
      <c r="I248"/>
    </row>
    <row r="249" spans="6:9" x14ac:dyDescent="0.2">
      <c r="F249"/>
      <c r="G249"/>
      <c r="H249"/>
      <c r="I249"/>
    </row>
    <row r="250" spans="6:9" x14ac:dyDescent="0.2">
      <c r="F250"/>
      <c r="G250"/>
      <c r="H250"/>
      <c r="I250"/>
    </row>
    <row r="251" spans="6:9" x14ac:dyDescent="0.2">
      <c r="F251"/>
      <c r="G251"/>
      <c r="H251"/>
      <c r="I251"/>
    </row>
    <row r="252" spans="6:9" x14ac:dyDescent="0.2">
      <c r="F252"/>
      <c r="G252"/>
      <c r="H252"/>
      <c r="I252"/>
    </row>
    <row r="253" spans="6:9" x14ac:dyDescent="0.2">
      <c r="F253"/>
      <c r="G253"/>
      <c r="H253"/>
      <c r="I253"/>
    </row>
    <row r="254" spans="6:9" x14ac:dyDescent="0.2">
      <c r="F254"/>
      <c r="G254"/>
      <c r="H254"/>
      <c r="I254"/>
    </row>
    <row r="255" spans="6:9" x14ac:dyDescent="0.2">
      <c r="F255"/>
      <c r="G255"/>
      <c r="H255"/>
      <c r="I255"/>
    </row>
    <row r="256" spans="6:9" x14ac:dyDescent="0.2">
      <c r="F256"/>
      <c r="G256"/>
      <c r="H256"/>
      <c r="I256"/>
    </row>
    <row r="257" spans="6:9" x14ac:dyDescent="0.2">
      <c r="F257"/>
      <c r="G257"/>
      <c r="H257"/>
      <c r="I257"/>
    </row>
    <row r="258" spans="6:9" x14ac:dyDescent="0.2">
      <c r="F258"/>
      <c r="G258"/>
      <c r="H258"/>
      <c r="I258"/>
    </row>
    <row r="259" spans="6:9" x14ac:dyDescent="0.2">
      <c r="F259"/>
      <c r="G259"/>
      <c r="H259"/>
      <c r="I259"/>
    </row>
    <row r="260" spans="6:9" x14ac:dyDescent="0.2">
      <c r="F260"/>
      <c r="G260"/>
      <c r="H260"/>
      <c r="I260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sample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Wei</dc:creator>
  <cp:lastModifiedBy>Noah St. Jean</cp:lastModifiedBy>
  <dcterms:created xsi:type="dcterms:W3CDTF">2021-12-02T15:20:10Z</dcterms:created>
  <dcterms:modified xsi:type="dcterms:W3CDTF">2026-03-20T04:51:21Z</dcterms:modified>
</cp:coreProperties>
</file>